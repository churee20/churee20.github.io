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클로드\은퇴준비\은퇴준비\"/>
    </mc:Choice>
  </mc:AlternateContent>
  <xr:revisionPtr revIDLastSave="0" documentId="8_{6A9861B3-A020-4911-9AAE-6C20964E610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1. 투자 현황(현재)" sheetId="1" r:id="rId1"/>
    <sheet name="2,현재 실적" sheetId="2" r:id="rId2"/>
    <sheet name="3.투자 실적(월별)" sheetId="3" r:id="rId3"/>
  </sheets>
  <calcPr calcId="181029"/>
</workbook>
</file>

<file path=xl/calcChain.xml><?xml version="1.0" encoding="utf-8"?>
<calcChain xmlns="http://schemas.openxmlformats.org/spreadsheetml/2006/main">
  <c r="B68" i="3" l="1"/>
  <c r="E67" i="3"/>
  <c r="D67" i="3"/>
  <c r="C67" i="3"/>
  <c r="B67" i="3"/>
  <c r="B63" i="3"/>
  <c r="E62" i="3"/>
  <c r="D62" i="3"/>
  <c r="C62" i="3"/>
  <c r="B62" i="3"/>
  <c r="F45" i="2"/>
  <c r="E45" i="2"/>
  <c r="D45" i="2"/>
  <c r="C45" i="2"/>
  <c r="F44" i="2"/>
  <c r="E44" i="2"/>
  <c r="D44" i="2"/>
  <c r="C44" i="2"/>
  <c r="F42" i="2"/>
  <c r="E42" i="2"/>
  <c r="D42" i="2"/>
  <c r="C42" i="2"/>
  <c r="F41" i="2"/>
  <c r="E41" i="2"/>
  <c r="D41" i="2"/>
  <c r="C41" i="2"/>
  <c r="F39" i="2"/>
  <c r="E39" i="2"/>
  <c r="D39" i="2"/>
  <c r="C39" i="2"/>
  <c r="F38" i="2"/>
  <c r="E38" i="2"/>
  <c r="D38" i="2"/>
  <c r="C38" i="2"/>
  <c r="F37" i="2"/>
  <c r="E37" i="2"/>
  <c r="D37" i="2"/>
  <c r="C37" i="2"/>
  <c r="F36" i="2"/>
  <c r="E36" i="2"/>
  <c r="D36" i="2"/>
  <c r="C36" i="2"/>
  <c r="F35" i="2"/>
  <c r="E35" i="2"/>
  <c r="D35" i="2"/>
  <c r="C35" i="2"/>
  <c r="F34" i="2"/>
  <c r="E34" i="2"/>
  <c r="D34" i="2"/>
  <c r="C34" i="2"/>
  <c r="F32" i="2"/>
  <c r="E32" i="2"/>
  <c r="D32" i="2"/>
  <c r="C32" i="2"/>
  <c r="E30" i="2"/>
  <c r="E29" i="2"/>
  <c r="F30" i="2"/>
  <c r="D30" i="2"/>
  <c r="C30" i="2"/>
  <c r="F29" i="2"/>
  <c r="D29" i="2"/>
  <c r="C29" i="2"/>
  <c r="F28" i="2"/>
  <c r="E28" i="2"/>
  <c r="D28" i="2"/>
  <c r="C28" i="2"/>
  <c r="F27" i="2"/>
  <c r="E27" i="2"/>
  <c r="D27" i="2"/>
  <c r="C27" i="2"/>
  <c r="F26" i="2"/>
  <c r="E26" i="2"/>
  <c r="D26" i="2"/>
  <c r="C26" i="2"/>
  <c r="F17" i="2"/>
  <c r="E17" i="2"/>
  <c r="D17" i="2"/>
  <c r="C17" i="2"/>
  <c r="F23" i="2"/>
  <c r="E23" i="2"/>
  <c r="D23" i="2"/>
  <c r="C23" i="2"/>
  <c r="F22" i="2"/>
  <c r="E22" i="2"/>
  <c r="D22" i="2"/>
  <c r="C22" i="2"/>
  <c r="F21" i="2"/>
  <c r="E21" i="2"/>
  <c r="D21" i="2"/>
  <c r="C21" i="2"/>
  <c r="F20" i="2"/>
  <c r="E20" i="2"/>
  <c r="D20" i="2"/>
  <c r="C20" i="2"/>
  <c r="F18" i="2"/>
  <c r="E18" i="2"/>
  <c r="D18" i="2"/>
  <c r="C18" i="2"/>
  <c r="F15" i="2"/>
  <c r="E15" i="2"/>
  <c r="D15" i="2"/>
  <c r="C15" i="2"/>
  <c r="F14" i="2"/>
  <c r="E14" i="2"/>
  <c r="D14" i="2"/>
  <c r="C14" i="2"/>
  <c r="F13" i="2"/>
  <c r="E13" i="2"/>
  <c r="D13" i="2"/>
  <c r="C13" i="2"/>
  <c r="F12" i="2"/>
  <c r="E12" i="2"/>
  <c r="D12" i="2"/>
  <c r="C12" i="2"/>
  <c r="E10" i="2"/>
  <c r="E9" i="2"/>
  <c r="E8" i="2"/>
  <c r="F10" i="2"/>
  <c r="D10" i="2"/>
  <c r="C10" i="2"/>
  <c r="F9" i="2"/>
  <c r="D9" i="2"/>
  <c r="C9" i="2"/>
  <c r="F8" i="2"/>
  <c r="D8" i="2"/>
  <c r="C8" i="2"/>
  <c r="F7" i="2"/>
  <c r="E7" i="2"/>
  <c r="D7" i="2"/>
  <c r="C7" i="2"/>
  <c r="F5" i="2"/>
  <c r="E5" i="2"/>
  <c r="D5" i="2"/>
  <c r="C5" i="2"/>
  <c r="F4" i="2"/>
  <c r="E4" i="2"/>
  <c r="D4" i="2"/>
  <c r="C4" i="2"/>
  <c r="F3" i="2"/>
  <c r="E3" i="2"/>
  <c r="D3" i="2"/>
  <c r="C3" i="2"/>
  <c r="F2" i="2"/>
  <c r="E2" i="2"/>
  <c r="D2" i="2"/>
  <c r="C2" i="2"/>
  <c r="F137" i="1"/>
  <c r="E137" i="1"/>
  <c r="F136" i="1"/>
  <c r="E136" i="1"/>
  <c r="F135" i="1"/>
  <c r="E135" i="1"/>
  <c r="F134" i="1"/>
  <c r="E134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K112" i="1"/>
  <c r="L112" i="1" s="1"/>
  <c r="J112" i="1"/>
  <c r="K111" i="1"/>
  <c r="L111" i="1" s="1"/>
  <c r="J111" i="1"/>
  <c r="K110" i="1"/>
  <c r="L110" i="1" s="1"/>
  <c r="M110" i="1" s="1"/>
  <c r="J110" i="1"/>
  <c r="K109" i="1"/>
  <c r="L109" i="1" s="1"/>
  <c r="M109" i="1" s="1"/>
  <c r="J109" i="1"/>
  <c r="J114" i="1" s="1"/>
  <c r="K107" i="1"/>
  <c r="J107" i="1"/>
  <c r="G107" i="1"/>
  <c r="K96" i="1"/>
  <c r="L96" i="1" s="1"/>
  <c r="I45" i="2" s="1"/>
  <c r="J96" i="1"/>
  <c r="J100" i="1" s="1"/>
  <c r="K95" i="1"/>
  <c r="L95" i="1" s="1"/>
  <c r="I44" i="2" s="1"/>
  <c r="J95" i="1"/>
  <c r="C95" i="1"/>
  <c r="B44" i="2" s="1"/>
  <c r="D44" i="3" s="1"/>
  <c r="K93" i="1"/>
  <c r="L93" i="1" s="1"/>
  <c r="I42" i="2" s="1"/>
  <c r="J93" i="1"/>
  <c r="K89" i="1"/>
  <c r="L89" i="1" s="1"/>
  <c r="I41" i="2" s="1"/>
  <c r="J89" i="1"/>
  <c r="J94" i="1" s="1"/>
  <c r="C89" i="1"/>
  <c r="B41" i="2" s="1"/>
  <c r="D40" i="3" s="1"/>
  <c r="K87" i="1"/>
  <c r="L87" i="1" s="1"/>
  <c r="M87" i="1" s="1"/>
  <c r="J87" i="1"/>
  <c r="K86" i="1"/>
  <c r="L86" i="1" s="1"/>
  <c r="N86" i="1" s="1"/>
  <c r="J38" i="2" s="1"/>
  <c r="J86" i="1"/>
  <c r="K85" i="1"/>
  <c r="L85" i="1" s="1"/>
  <c r="I37" i="2" s="1"/>
  <c r="J85" i="1"/>
  <c r="K84" i="1"/>
  <c r="L84" i="1" s="1"/>
  <c r="J84" i="1"/>
  <c r="K83" i="1"/>
  <c r="L83" i="1" s="1"/>
  <c r="M83" i="1" s="1"/>
  <c r="J83" i="1"/>
  <c r="K82" i="1"/>
  <c r="L82" i="1" s="1"/>
  <c r="N82" i="1" s="1"/>
  <c r="J35" i="2" s="1"/>
  <c r="J82" i="1"/>
  <c r="K81" i="1"/>
  <c r="L81" i="1" s="1"/>
  <c r="I34" i="2" s="1"/>
  <c r="J81" i="1"/>
  <c r="J88" i="1" s="1"/>
  <c r="C81" i="1"/>
  <c r="B34" i="2" s="1"/>
  <c r="D36" i="3" s="1"/>
  <c r="L71" i="1"/>
  <c r="I32" i="2" s="1"/>
  <c r="I33" i="2" s="1"/>
  <c r="D33" i="3" s="1"/>
  <c r="K71" i="1"/>
  <c r="H32" i="2" s="1"/>
  <c r="J71" i="1"/>
  <c r="J80" i="1" s="1"/>
  <c r="C71" i="1"/>
  <c r="B32" i="2" s="1"/>
  <c r="D32" i="3" s="1"/>
  <c r="L64" i="1"/>
  <c r="L70" i="1" s="1"/>
  <c r="K64" i="1"/>
  <c r="J64" i="1"/>
  <c r="J70" i="1" s="1"/>
  <c r="C64" i="1"/>
  <c r="J63" i="1"/>
  <c r="K62" i="1"/>
  <c r="L62" i="1" s="1"/>
  <c r="M62" i="1" s="1"/>
  <c r="J62" i="1"/>
  <c r="K60" i="1"/>
  <c r="L60" i="1" s="1"/>
  <c r="I30" i="2" s="1"/>
  <c r="J60" i="1"/>
  <c r="K59" i="1"/>
  <c r="L59" i="1" s="1"/>
  <c r="I29" i="2" s="1"/>
  <c r="J59" i="1"/>
  <c r="K58" i="1"/>
  <c r="L58" i="1" s="1"/>
  <c r="I28" i="2" s="1"/>
  <c r="J58" i="1"/>
  <c r="K57" i="1"/>
  <c r="L57" i="1" s="1"/>
  <c r="M57" i="1" s="1"/>
  <c r="J57" i="1"/>
  <c r="K56" i="1"/>
  <c r="L56" i="1" s="1"/>
  <c r="I27" i="2" s="1"/>
  <c r="J56" i="1"/>
  <c r="K55" i="1"/>
  <c r="L55" i="1" s="1"/>
  <c r="I26" i="2" s="1"/>
  <c r="J55" i="1"/>
  <c r="C55" i="1"/>
  <c r="B26" i="2" s="1"/>
  <c r="D28" i="3" s="1"/>
  <c r="K47" i="1"/>
  <c r="L47" i="1" s="1"/>
  <c r="I23" i="2" s="1"/>
  <c r="J47" i="1"/>
  <c r="K46" i="1"/>
  <c r="L46" i="1" s="1"/>
  <c r="I22" i="2" s="1"/>
  <c r="J46" i="1"/>
  <c r="K45" i="1"/>
  <c r="L45" i="1" s="1"/>
  <c r="I21" i="2" s="1"/>
  <c r="J45" i="1"/>
  <c r="K44" i="1"/>
  <c r="L44" i="1" s="1"/>
  <c r="M44" i="1" s="1"/>
  <c r="J44" i="1"/>
  <c r="J53" i="1" s="1"/>
  <c r="K43" i="1"/>
  <c r="L43" i="1" s="1"/>
  <c r="J43" i="1"/>
  <c r="C43" i="1"/>
  <c r="J42" i="1"/>
  <c r="K38" i="1"/>
  <c r="L38" i="1" s="1"/>
  <c r="I18" i="2" s="1"/>
  <c r="J38" i="1"/>
  <c r="K37" i="1"/>
  <c r="L37" i="1" s="1"/>
  <c r="M37" i="1" s="1"/>
  <c r="J37" i="1"/>
  <c r="K36" i="1"/>
  <c r="L36" i="1" s="1"/>
  <c r="M36" i="1" s="1"/>
  <c r="J36" i="1"/>
  <c r="C36" i="1"/>
  <c r="K30" i="1"/>
  <c r="L30" i="1" s="1"/>
  <c r="I15" i="2" s="1"/>
  <c r="J30" i="1"/>
  <c r="K29" i="1"/>
  <c r="L29" i="1" s="1"/>
  <c r="M29" i="1" s="1"/>
  <c r="J29" i="1"/>
  <c r="K28" i="1"/>
  <c r="L28" i="1" s="1"/>
  <c r="N28" i="1" s="1"/>
  <c r="J13" i="2" s="1"/>
  <c r="J28" i="1"/>
  <c r="K27" i="1"/>
  <c r="L27" i="1" s="1"/>
  <c r="I12" i="2" s="1"/>
  <c r="J27" i="1"/>
  <c r="J35" i="1" s="1"/>
  <c r="C27" i="1"/>
  <c r="B12" i="2" s="1"/>
  <c r="D12" i="3" s="1"/>
  <c r="K20" i="1"/>
  <c r="L20" i="1" s="1"/>
  <c r="M20" i="1" s="1"/>
  <c r="J20" i="1"/>
  <c r="K19" i="1"/>
  <c r="L19" i="1" s="1"/>
  <c r="I9" i="2" s="1"/>
  <c r="J19" i="1"/>
  <c r="K18" i="1"/>
  <c r="L18" i="1" s="1"/>
  <c r="I8" i="2" s="1"/>
  <c r="J18" i="1"/>
  <c r="K17" i="1"/>
  <c r="L17" i="1" s="1"/>
  <c r="I7" i="2" s="1"/>
  <c r="J17" i="1"/>
  <c r="J26" i="1" s="1"/>
  <c r="C17" i="1"/>
  <c r="B7" i="2" s="1"/>
  <c r="D8" i="3" s="1"/>
  <c r="K11" i="1"/>
  <c r="L11" i="1" s="1"/>
  <c r="I5" i="2" s="1"/>
  <c r="J11" i="1"/>
  <c r="K10" i="1"/>
  <c r="L10" i="1" s="1"/>
  <c r="I4" i="2" s="1"/>
  <c r="J10" i="1"/>
  <c r="K8" i="1"/>
  <c r="L8" i="1" s="1"/>
  <c r="M8" i="1" s="1"/>
  <c r="N8" i="1" s="1"/>
  <c r="J8" i="1"/>
  <c r="K6" i="1"/>
  <c r="L6" i="1" s="1"/>
  <c r="M6" i="1" s="1"/>
  <c r="J6" i="1"/>
  <c r="J16" i="1" s="1"/>
  <c r="J54" i="1" s="1"/>
  <c r="K5" i="1"/>
  <c r="L5" i="1" s="1"/>
  <c r="I2" i="2" s="1"/>
  <c r="J5" i="1"/>
  <c r="C5" i="1"/>
  <c r="B2" i="2" s="1"/>
  <c r="D4" i="3" s="1"/>
  <c r="K2" i="1"/>
  <c r="D34" i="3" l="1"/>
  <c r="I46" i="2"/>
  <c r="H45" i="2"/>
  <c r="B45" i="2"/>
  <c r="H44" i="2"/>
  <c r="I43" i="2"/>
  <c r="H42" i="2"/>
  <c r="B42" i="2"/>
  <c r="H41" i="2"/>
  <c r="I39" i="2"/>
  <c r="H39" i="2"/>
  <c r="B39" i="2"/>
  <c r="I38" i="2"/>
  <c r="H38" i="2"/>
  <c r="B38" i="2"/>
  <c r="H37" i="2"/>
  <c r="B37" i="2"/>
  <c r="I36" i="2"/>
  <c r="H36" i="2"/>
  <c r="B36" i="2"/>
  <c r="I35" i="2"/>
  <c r="H35" i="2"/>
  <c r="B35" i="2"/>
  <c r="H34" i="2"/>
  <c r="I31" i="2"/>
  <c r="H30" i="2"/>
  <c r="B30" i="2"/>
  <c r="H29" i="2"/>
  <c r="B29" i="2"/>
  <c r="H28" i="2"/>
  <c r="B28" i="2"/>
  <c r="H27" i="2"/>
  <c r="B27" i="2"/>
  <c r="H26" i="2"/>
  <c r="H17" i="2"/>
  <c r="I17" i="2"/>
  <c r="I19" i="2" s="1"/>
  <c r="H23" i="2"/>
  <c r="B23" i="2"/>
  <c r="H22" i="2"/>
  <c r="B22" i="2"/>
  <c r="H21" i="2"/>
  <c r="B21" i="2"/>
  <c r="I20" i="2"/>
  <c r="I24" i="2" s="1"/>
  <c r="H20" i="2"/>
  <c r="B20" i="2"/>
  <c r="D20" i="3" s="1"/>
  <c r="H18" i="2"/>
  <c r="B18" i="2"/>
  <c r="B17" i="2"/>
  <c r="D16" i="3" s="1"/>
  <c r="H15" i="2"/>
  <c r="I14" i="2"/>
  <c r="H14" i="2"/>
  <c r="I13" i="2"/>
  <c r="H13" i="2"/>
  <c r="H12" i="2"/>
  <c r="I10" i="2"/>
  <c r="I11" i="2" s="1"/>
  <c r="H10" i="2"/>
  <c r="H9" i="2"/>
  <c r="H8" i="2"/>
  <c r="H7" i="2"/>
  <c r="H5" i="2"/>
  <c r="H4" i="2"/>
  <c r="I3" i="2"/>
  <c r="I6" i="2" s="1"/>
  <c r="H3" i="2"/>
  <c r="H2" i="2"/>
  <c r="M71" i="1"/>
  <c r="L35" i="1"/>
  <c r="M35" i="1" s="1"/>
  <c r="N10" i="1"/>
  <c r="J4" i="2" s="1"/>
  <c r="M86" i="1"/>
  <c r="N19" i="1"/>
  <c r="J9" i="2" s="1"/>
  <c r="M19" i="1"/>
  <c r="N56" i="1"/>
  <c r="J27" i="2" s="1"/>
  <c r="M56" i="1"/>
  <c r="N43" i="1"/>
  <c r="M43" i="1"/>
  <c r="N60" i="1"/>
  <c r="J30" i="2" s="1"/>
  <c r="M60" i="1"/>
  <c r="N11" i="1"/>
  <c r="J5" i="2" s="1"/>
  <c r="M11" i="1"/>
  <c r="N5" i="1"/>
  <c r="J2" i="2" s="1"/>
  <c r="M5" i="1"/>
  <c r="N47" i="1"/>
  <c r="J23" i="2" s="1"/>
  <c r="M47" i="1"/>
  <c r="C101" i="1"/>
  <c r="B47" i="2" s="1"/>
  <c r="D48" i="3" s="1"/>
  <c r="M82" i="1"/>
  <c r="N18" i="1"/>
  <c r="J8" i="2" s="1"/>
  <c r="N46" i="1"/>
  <c r="J22" i="2" s="1"/>
  <c r="N55" i="1"/>
  <c r="J26" i="2" s="1"/>
  <c r="N59" i="1"/>
  <c r="J29" i="2" s="1"/>
  <c r="L107" i="1"/>
  <c r="N107" i="1" s="1"/>
  <c r="C54" i="1"/>
  <c r="B25" i="2" s="1"/>
  <c r="D24" i="3" s="1"/>
  <c r="M28" i="1"/>
  <c r="M96" i="1"/>
  <c r="N96" i="1"/>
  <c r="J45" i="2" s="1"/>
  <c r="N111" i="1"/>
  <c r="M111" i="1"/>
  <c r="L26" i="1"/>
  <c r="N17" i="1"/>
  <c r="J7" i="2" s="1"/>
  <c r="M17" i="1"/>
  <c r="N45" i="1"/>
  <c r="J21" i="2" s="1"/>
  <c r="M45" i="1"/>
  <c r="N58" i="1"/>
  <c r="J28" i="2" s="1"/>
  <c r="M58" i="1"/>
  <c r="N38" i="1"/>
  <c r="J18" i="2" s="1"/>
  <c r="M38" i="1"/>
  <c r="N84" i="1"/>
  <c r="M84" i="1"/>
  <c r="L94" i="1"/>
  <c r="M89" i="1"/>
  <c r="N89" i="1"/>
  <c r="J41" i="2" s="1"/>
  <c r="N95" i="1"/>
  <c r="J44" i="2" s="1"/>
  <c r="L100" i="1"/>
  <c r="M95" i="1"/>
  <c r="L114" i="1"/>
  <c r="N112" i="1"/>
  <c r="M112" i="1"/>
  <c r="N30" i="1"/>
  <c r="J15" i="2" s="1"/>
  <c r="M30" i="1"/>
  <c r="L42" i="1"/>
  <c r="N70" i="1"/>
  <c r="M70" i="1"/>
  <c r="M85" i="1"/>
  <c r="N85" i="1"/>
  <c r="J37" i="2" s="1"/>
  <c r="N93" i="1"/>
  <c r="J42" i="2" s="1"/>
  <c r="M93" i="1"/>
  <c r="N81" i="1"/>
  <c r="J34" i="2" s="1"/>
  <c r="L88" i="1"/>
  <c r="N6" i="1"/>
  <c r="J3" i="2" s="1"/>
  <c r="N20" i="1"/>
  <c r="J10" i="2" s="1"/>
  <c r="N29" i="1"/>
  <c r="J14" i="2" s="1"/>
  <c r="N37" i="1"/>
  <c r="J17" i="2" s="1"/>
  <c r="N44" i="1"/>
  <c r="J20" i="2" s="1"/>
  <c r="N57" i="1"/>
  <c r="J61" i="1"/>
  <c r="J101" i="1" s="1"/>
  <c r="J102" i="1" s="1"/>
  <c r="N62" i="1"/>
  <c r="N71" i="1"/>
  <c r="N83" i="1"/>
  <c r="J36" i="2" s="1"/>
  <c r="N87" i="1"/>
  <c r="J39" i="2" s="1"/>
  <c r="N110" i="1"/>
  <c r="M10" i="1"/>
  <c r="L16" i="1"/>
  <c r="M18" i="1"/>
  <c r="M27" i="1"/>
  <c r="M46" i="1"/>
  <c r="L53" i="1"/>
  <c r="M55" i="1"/>
  <c r="M59" i="1"/>
  <c r="L61" i="1"/>
  <c r="M64" i="1"/>
  <c r="M81" i="1"/>
  <c r="N27" i="1"/>
  <c r="J12" i="2" s="1"/>
  <c r="L63" i="1"/>
  <c r="N64" i="1"/>
  <c r="L80" i="1"/>
  <c r="N36" i="1"/>
  <c r="N109" i="1"/>
  <c r="D6" i="3" l="1"/>
  <c r="D42" i="3"/>
  <c r="D46" i="3"/>
  <c r="D10" i="3"/>
  <c r="J46" i="2"/>
  <c r="D45" i="3"/>
  <c r="J43" i="2"/>
  <c r="D41" i="3"/>
  <c r="D29" i="3"/>
  <c r="D30" i="3"/>
  <c r="D21" i="3"/>
  <c r="D22" i="3"/>
  <c r="D17" i="3"/>
  <c r="D18" i="3"/>
  <c r="J11" i="2"/>
  <c r="D9" i="3"/>
  <c r="J6" i="2"/>
  <c r="D5" i="3"/>
  <c r="J31" i="2"/>
  <c r="I40" i="2"/>
  <c r="J32" i="2"/>
  <c r="J33" i="2"/>
  <c r="J24" i="2"/>
  <c r="J19" i="2"/>
  <c r="I16" i="2"/>
  <c r="M107" i="1"/>
  <c r="N35" i="1"/>
  <c r="C102" i="1"/>
  <c r="B48" i="2" s="1"/>
  <c r="D52" i="3" s="1"/>
  <c r="N114" i="1"/>
  <c r="M114" i="1"/>
  <c r="M88" i="1"/>
  <c r="N88" i="1"/>
  <c r="M80" i="1"/>
  <c r="N80" i="1"/>
  <c r="N53" i="1"/>
  <c r="M53" i="1"/>
  <c r="N16" i="1"/>
  <c r="L54" i="1"/>
  <c r="I25" i="2" s="1"/>
  <c r="M16" i="1"/>
  <c r="M26" i="1"/>
  <c r="N26" i="1"/>
  <c r="N42" i="1"/>
  <c r="M42" i="1"/>
  <c r="M63" i="1"/>
  <c r="N63" i="1"/>
  <c r="N61" i="1"/>
  <c r="M61" i="1"/>
  <c r="L101" i="1"/>
  <c r="N100" i="1"/>
  <c r="M100" i="1"/>
  <c r="N94" i="1"/>
  <c r="M94" i="1"/>
  <c r="D38" i="3" l="1"/>
  <c r="D14" i="3"/>
  <c r="D7" i="3"/>
  <c r="D47" i="3"/>
  <c r="D19" i="3"/>
  <c r="D23" i="3"/>
  <c r="D31" i="3"/>
  <c r="D11" i="3"/>
  <c r="D43" i="3"/>
  <c r="D35" i="3"/>
  <c r="J40" i="2"/>
  <c r="D37" i="3"/>
  <c r="D25" i="3"/>
  <c r="D26" i="3"/>
  <c r="C63" i="3" s="1"/>
  <c r="J16" i="2"/>
  <c r="D13" i="3"/>
  <c r="I47" i="2"/>
  <c r="N101" i="1"/>
  <c r="M101" i="1"/>
  <c r="M54" i="1"/>
  <c r="L102" i="1"/>
  <c r="N54" i="1"/>
  <c r="J25" i="2" s="1"/>
  <c r="D50" i="3" l="1"/>
  <c r="D63" i="3" s="1"/>
  <c r="D15" i="3"/>
  <c r="D39" i="3"/>
  <c r="D27" i="3"/>
  <c r="C68" i="3" s="1"/>
  <c r="J47" i="2"/>
  <c r="D49" i="3"/>
  <c r="I48" i="2"/>
  <c r="M102" i="1"/>
  <c r="N102" i="1"/>
  <c r="D54" i="3" l="1"/>
  <c r="E63" i="3" s="1"/>
  <c r="D51" i="3"/>
  <c r="D68" i="3" s="1"/>
  <c r="J48" i="2"/>
  <c r="D53" i="3"/>
  <c r="D55" i="3" l="1"/>
  <c r="E68" i="3" s="1"/>
</calcChain>
</file>

<file path=xl/sharedStrings.xml><?xml version="1.0" encoding="utf-8"?>
<sst xmlns="http://schemas.openxmlformats.org/spreadsheetml/2006/main" count="338" uniqueCount="121">
  <si>
    <t>구분</t>
  </si>
  <si>
    <t>금액</t>
  </si>
  <si>
    <t>국가</t>
  </si>
  <si>
    <t>코드</t>
  </si>
  <si>
    <t>항목</t>
  </si>
  <si>
    <t>총 수량</t>
  </si>
  <si>
    <t>현재가
(구매시)</t>
  </si>
  <si>
    <t>투자금액</t>
  </si>
  <si>
    <t>현재가</t>
  </si>
  <si>
    <t>조회금액</t>
  </si>
  <si>
    <t>수익금액</t>
  </si>
  <si>
    <t>수익율(%)</t>
  </si>
  <si>
    <t>퇴직연금
(220-91-xxxx-757)</t>
  </si>
  <si>
    <t>한국</t>
  </si>
  <si>
    <t>442580</t>
  </si>
  <si>
    <t>Plus HBM 글로벌 반도체</t>
  </si>
  <si>
    <t>0162Z0</t>
  </si>
  <si>
    <t>RISE 삼성하이닉스채권</t>
  </si>
  <si>
    <t>0418J0</t>
  </si>
  <si>
    <t>TIGER 휴머노이드로봇</t>
  </si>
  <si>
    <t>458730</t>
  </si>
  <si>
    <t>미국배당 다우존스</t>
  </si>
  <si>
    <t>483280</t>
  </si>
  <si>
    <t>Kodex AI Top TOP 커버드</t>
  </si>
  <si>
    <t>합 계</t>
  </si>
  <si>
    <t>개인연금(기존)
(220-34-xxxx-151)</t>
  </si>
  <si>
    <t>0177R0</t>
  </si>
  <si>
    <t>TIGER 반도체TOP10 커버드콜</t>
  </si>
  <si>
    <t>개인연금(신)
(112-8680-xxxx-0)</t>
  </si>
  <si>
    <t>490090</t>
  </si>
  <si>
    <t>TIGER AI 빅테크</t>
  </si>
  <si>
    <t>DC 계좌
(496-3028-xxx-0)</t>
  </si>
  <si>
    <t>390390</t>
  </si>
  <si>
    <t>미국반도체</t>
  </si>
  <si>
    <t>퇴직연금(삼성)
(648-8656-xxx)</t>
  </si>
  <si>
    <t>396500</t>
  </si>
  <si>
    <t>TIGER 반도체TOP10</t>
  </si>
  <si>
    <t>411060</t>
  </si>
  <si>
    <t>ACE KRX 금현물</t>
  </si>
  <si>
    <t>251600</t>
  </si>
  <si>
    <t>Plus 고배당주 채권혼합</t>
  </si>
  <si>
    <t>연금(합계)</t>
  </si>
  <si>
    <t>처리 투자
(미래에셋)</t>
  </si>
  <si>
    <t>TIGER 반도체 TOP10</t>
  </si>
  <si>
    <t>395160</t>
  </si>
  <si>
    <t>KODEX AI 반도체 TOP2</t>
  </si>
  <si>
    <t>480020</t>
  </si>
  <si>
    <t>ACE 빅테크7 커버드콜</t>
  </si>
  <si>
    <t>0195R0</t>
  </si>
  <si>
    <t>TIGER 삼성전자 레버리지</t>
  </si>
  <si>
    <t>처리 투자
(삼성증권)</t>
  </si>
  <si>
    <t>미국</t>
  </si>
  <si>
    <t>NVDA</t>
  </si>
  <si>
    <t>엔비디아</t>
  </si>
  <si>
    <t>은퇴 투자
(삼성증권)</t>
  </si>
  <si>
    <t>STX</t>
  </si>
  <si>
    <t>시게이트</t>
  </si>
  <si>
    <t>은퇴투자
(미래에셋)</t>
  </si>
  <si>
    <t>KODEX 미국 반도체</t>
  </si>
  <si>
    <t>ISA 계좌
(648-8656-xxx)</t>
  </si>
  <si>
    <t>RIA 계좌
(7179943209-01)</t>
  </si>
  <si>
    <t>498400</t>
  </si>
  <si>
    <t>KODEX 200 타겟 커버드콜</t>
  </si>
  <si>
    <t>개인 투자(합계)</t>
  </si>
  <si>
    <t>전체(합계)</t>
  </si>
  <si>
    <t>센푸 계약금 투자(임시)</t>
  </si>
  <si>
    <t>수기 투자(미국)
(232-2640-xxx)</t>
  </si>
  <si>
    <t>종목코드</t>
  </si>
  <si>
    <t>종목명</t>
  </si>
  <si>
    <t>주식수</t>
  </si>
  <si>
    <t>평단가</t>
  </si>
  <si>
    <t>비고</t>
  </si>
  <si>
    <t>Kodex 미국반도체</t>
  </si>
  <si>
    <t>449450</t>
  </si>
  <si>
    <t>Plus K 방산</t>
  </si>
  <si>
    <t>미국배당다우</t>
  </si>
  <si>
    <t>NVDX</t>
  </si>
  <si>
    <t>엔비디아*2배</t>
  </si>
  <si>
    <t>USD</t>
  </si>
  <si>
    <t>반도체*2배</t>
  </si>
  <si>
    <t>GOOGL</t>
  </si>
  <si>
    <t>Google</t>
  </si>
  <si>
    <t>GGLL</t>
  </si>
  <si>
    <t>구글 2배</t>
  </si>
  <si>
    <t>KODEX 반도체 레버리지</t>
  </si>
  <si>
    <t>투자 원금</t>
  </si>
  <si>
    <t>투자 종목 코드</t>
  </si>
  <si>
    <t>투자 종목 명칭</t>
  </si>
  <si>
    <t>수량</t>
  </si>
  <si>
    <t>투자 단가</t>
  </si>
  <si>
    <t>과세 표준가</t>
  </si>
  <si>
    <t>현재 금액</t>
  </si>
  <si>
    <t>수익율</t>
  </si>
  <si>
    <t>연금 합계</t>
  </si>
  <si>
    <t>소계</t>
  </si>
  <si>
    <t>처리투자(미래에셋)</t>
  </si>
  <si>
    <t>은퇴투자(삼성증권)</t>
  </si>
  <si>
    <t>은퇴투자(미래에셋)</t>
  </si>
  <si>
    <t>개인투자 합계</t>
  </si>
  <si>
    <t>전체 합계</t>
  </si>
  <si>
    <t>투자 실적 (월별)</t>
  </si>
  <si>
    <t>계좌</t>
  </si>
  <si>
    <t>2026-06</t>
  </si>
  <si>
    <t>퇴직연금(220-91)</t>
  </si>
  <si>
    <t>투자원금</t>
  </si>
  <si>
    <t>현재금액</t>
  </si>
  <si>
    <t>수익률</t>
  </si>
  <si>
    <t>개인연금(기존)</t>
  </si>
  <si>
    <t>개인연금(신)</t>
  </si>
  <si>
    <t>DC계좌</t>
  </si>
  <si>
    <t>퇴직연금(삼성)</t>
  </si>
  <si>
    <t>ISA 계좌</t>
  </si>
  <si>
    <t>RIA 계좌</t>
  </si>
  <si>
    <t>【 차트 데이터 (자동) 】</t>
  </si>
  <si>
    <t>월</t>
  </si>
  <si>
    <t>연금합계 수익금액</t>
  </si>
  <si>
    <t>개인투자 수익금액</t>
  </si>
  <si>
    <t>전체 수익금액</t>
  </si>
  <si>
    <t>연금합계 수익률</t>
  </si>
  <si>
    <t>개인투자 수익률</t>
  </si>
  <si>
    <t>전체 수익률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</si>
</sst>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yyyy&quot;년 &quot;mmmm&quot; &quot;d&quot;일 &quot;dddd"/>
    <numFmt numFmtId="177" formatCode="_-* #,##0_-;\-* #,##0_-;_-* &quot;-&quot;_-;_-@"/>
    <numFmt numFmtId="178" formatCode="[$₩-412]#,##0"/>
    <numFmt numFmtId="179" formatCode="0.000%"/>
    <numFmt numFmtId="180" formatCode="_-* #,##0.00_-;\-* #,##0.00_-;_-* &quot;-&quot;_-;_-@"/>
    <numFmt numFmtId="181" formatCode="[$$]#,##0.00"/>
    <numFmt numFmtId="182" formatCode="_-* #,##0.0_-;\-* #,##0.0_-;_-* &quot;-&quot;_-;_-@"/>
    <numFmt numFmtId="183" formatCode="_-* #,##0.00_-;\-* #,##0.00_-;_-* &quot;-&quot;??_-;_-@"/>
    <numFmt numFmtId="184" formatCode="[$₩-412]#,##0.00"/>
    <numFmt numFmtId="185" formatCode="0.0"/>
    <numFmt numFmtId="186" formatCode="0.0%"/>
  </numFmts>
  <fonts count="26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Calibri"/>
    </font>
    <font>
      <b/>
      <sz val="11"/>
      <color theme="1"/>
      <name val="Malgun Gothic"/>
      <family val="3"/>
      <charset val="129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rgb="FF1A5276"/>
      <name val="Calibri"/>
      <family val="2"/>
      <scheme val="minor"/>
    </font>
    <font>
      <b/>
      <sz val="11"/>
      <color rgb="FF1D8348"/>
      <name val="Calibri"/>
      <family val="2"/>
      <scheme val="minor"/>
    </font>
    <font>
      <sz val="11"/>
      <color rgb="FF784212"/>
      <name val="Calibri"/>
      <family val="2"/>
      <scheme val="minor"/>
    </font>
    <font>
      <b/>
      <sz val="11"/>
      <color rgb="FF784212"/>
      <name val="Calibri"/>
      <family val="2"/>
      <scheme val="minor"/>
    </font>
    <font>
      <b/>
      <sz val="11"/>
      <color rgb="FF6E2F1A"/>
      <name val="Calibri"/>
      <family val="2"/>
      <scheme val="minor"/>
    </font>
    <font>
      <sz val="11"/>
      <color rgb="FF4A235A"/>
      <name val="Calibri"/>
      <family val="2"/>
      <scheme val="minor"/>
    </font>
    <font>
      <b/>
      <sz val="11"/>
      <color rgb="FF4A235A"/>
      <name val="Calibri"/>
      <family val="2"/>
      <scheme val="minor"/>
    </font>
    <font>
      <sz val="11"/>
      <color rgb="FF1B4F72"/>
      <name val="Calibri"/>
      <family val="2"/>
      <scheme val="minor"/>
    </font>
    <font>
      <b/>
      <sz val="11"/>
      <color rgb="FF1B4F72"/>
      <name val="Calibri"/>
      <family val="2"/>
      <scheme val="minor"/>
    </font>
    <font>
      <sz val="11"/>
      <color rgb="FF0E6655"/>
      <name val="Calibri"/>
      <family val="2"/>
      <scheme val="minor"/>
    </font>
    <font>
      <b/>
      <sz val="11"/>
      <color rgb="FF0E6655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C000"/>
        <bgColor rgb="FFFFC000"/>
      </patternFill>
    </fill>
    <fill>
      <patternFill patternType="solid">
        <fgColor rgb="FFFFE599"/>
        <bgColor rgb="FFFFE599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D9D2E9"/>
        <bgColor rgb="FFD9D2E9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7"/>
        <bgColor theme="7"/>
      </patternFill>
    </fill>
    <fill>
      <patternFill patternType="solid">
        <fgColor rgb="FFFEF2CB"/>
        <bgColor rgb="FFFEF2CB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A9DFBF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F5CBA7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D2B4D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DFEFE"/>
        <bgColor indexed="64"/>
      </patternFill>
    </fill>
    <fill>
      <patternFill patternType="solid">
        <fgColor rgb="FFD5D8DC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A2D9CE"/>
        <bgColor indexed="64"/>
      </patternFill>
    </fill>
    <fill>
      <patternFill patternType="solid">
        <fgColor rgb="FF7D3C98"/>
        <bgColor indexed="64"/>
      </patternFill>
    </fill>
    <fill>
      <patternFill patternType="solid">
        <fgColor rgb="FF1A252F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1E8449"/>
        <bgColor indexed="64"/>
      </patternFill>
    </fill>
    <fill>
      <patternFill patternType="solid">
        <fgColor rgb="FF17202A"/>
        <bgColor indexed="64"/>
      </patternFill>
    </fill>
    <fill>
      <patternFill patternType="solid">
        <fgColor rgb="FFAEB6B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8">
    <xf numFmtId="0" fontId="0" fillId="0" borderId="0" xfId="0" applyAlignment="1">
      <alignment vertical="center"/>
    </xf>
    <xf numFmtId="9" fontId="1" fillId="0" borderId="0" xfId="0" applyNumberFormat="1" applyFont="1" applyAlignment="1">
      <alignment vertical="center"/>
    </xf>
    <xf numFmtId="9" fontId="1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9" fontId="4" fillId="3" borderId="5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77" fontId="1" fillId="6" borderId="5" xfId="0" applyNumberFormat="1" applyFont="1" applyFill="1" applyBorder="1" applyAlignment="1">
      <alignment horizontal="center" vertical="center"/>
    </xf>
    <xf numFmtId="177" fontId="1" fillId="7" borderId="5" xfId="0" applyNumberFormat="1" applyFont="1" applyFill="1" applyBorder="1" applyAlignment="1">
      <alignment horizontal="center" vertical="center"/>
    </xf>
    <xf numFmtId="177" fontId="1" fillId="2" borderId="5" xfId="0" applyNumberFormat="1" applyFont="1" applyFill="1" applyBorder="1" applyAlignment="1">
      <alignment horizontal="center" vertical="center"/>
    </xf>
    <xf numFmtId="178" fontId="1" fillId="2" borderId="5" xfId="0" applyNumberFormat="1" applyFont="1" applyFill="1" applyBorder="1" applyAlignment="1">
      <alignment horizontal="right" vertical="center"/>
    </xf>
    <xf numFmtId="177" fontId="1" fillId="2" borderId="5" xfId="0" applyNumberFormat="1" applyFont="1" applyFill="1" applyBorder="1" applyAlignment="1">
      <alignment horizontal="right" vertical="center"/>
    </xf>
    <xf numFmtId="179" fontId="4" fillId="8" borderId="5" xfId="0" applyNumberFormat="1" applyFont="1" applyFill="1" applyBorder="1" applyAlignment="1">
      <alignment horizontal="right" vertical="center"/>
    </xf>
    <xf numFmtId="179" fontId="4" fillId="2" borderId="0" xfId="0" applyNumberFormat="1" applyFont="1" applyFill="1" applyAlignment="1">
      <alignment horizontal="right" vertical="center"/>
    </xf>
    <xf numFmtId="179" fontId="1" fillId="8" borderId="5" xfId="0" applyNumberFormat="1" applyFont="1" applyFill="1" applyBorder="1" applyAlignment="1">
      <alignment horizontal="left" vertical="center"/>
    </xf>
    <xf numFmtId="179" fontId="4" fillId="9" borderId="5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Alignment="1">
      <alignment horizontal="right" vertical="center"/>
    </xf>
    <xf numFmtId="0" fontId="1" fillId="2" borderId="5" xfId="0" applyFont="1" applyFill="1" applyBorder="1" applyAlignment="1">
      <alignment vertical="center"/>
    </xf>
    <xf numFmtId="179" fontId="1" fillId="2" borderId="5" xfId="0" applyNumberFormat="1" applyFont="1" applyFill="1" applyBorder="1" applyAlignment="1">
      <alignment horizontal="right" vertical="center"/>
    </xf>
    <xf numFmtId="179" fontId="1" fillId="2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8" fontId="1" fillId="0" borderId="5" xfId="0" applyNumberFormat="1" applyFont="1" applyBorder="1" applyAlignment="1">
      <alignment horizontal="right" vertical="center"/>
    </xf>
    <xf numFmtId="177" fontId="1" fillId="0" borderId="5" xfId="0" applyNumberFormat="1" applyFont="1" applyBorder="1" applyAlignment="1">
      <alignment horizontal="right" vertical="center"/>
    </xf>
    <xf numFmtId="179" fontId="1" fillId="0" borderId="5" xfId="0" applyNumberFormat="1" applyFont="1" applyBorder="1" applyAlignment="1">
      <alignment horizontal="right" vertical="center"/>
    </xf>
    <xf numFmtId="0" fontId="1" fillId="6" borderId="5" xfId="0" applyFont="1" applyFill="1" applyBorder="1" applyAlignment="1">
      <alignment vertical="center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177" fontId="1" fillId="10" borderId="5" xfId="0" applyNumberFormat="1" applyFont="1" applyFill="1" applyBorder="1" applyAlignment="1">
      <alignment vertical="center"/>
    </xf>
    <xf numFmtId="177" fontId="4" fillId="10" borderId="5" xfId="0" applyNumberFormat="1" applyFont="1" applyFill="1" applyBorder="1" applyAlignment="1">
      <alignment horizontal="center" vertical="center"/>
    </xf>
    <xf numFmtId="177" fontId="4" fillId="6" borderId="5" xfId="0" applyNumberFormat="1" applyFont="1" applyFill="1" applyBorder="1" applyAlignment="1">
      <alignment horizontal="right" vertical="center"/>
    </xf>
    <xf numFmtId="177" fontId="4" fillId="11" borderId="5" xfId="0" applyNumberFormat="1" applyFont="1" applyFill="1" applyBorder="1" applyAlignment="1">
      <alignment horizontal="right" vertical="center"/>
    </xf>
    <xf numFmtId="179" fontId="4" fillId="6" borderId="5" xfId="0" applyNumberFormat="1" applyFont="1" applyFill="1" applyBorder="1" applyAlignment="1">
      <alignment horizontal="right" vertical="center"/>
    </xf>
    <xf numFmtId="179" fontId="1" fillId="12" borderId="5" xfId="0" applyNumberFormat="1" applyFont="1" applyFill="1" applyBorder="1" applyAlignment="1">
      <alignment horizontal="left" vertical="center"/>
    </xf>
    <xf numFmtId="179" fontId="1" fillId="12" borderId="5" xfId="0" applyNumberFormat="1" applyFont="1" applyFill="1" applyBorder="1" applyAlignment="1">
      <alignment horizontal="right" vertical="center"/>
    </xf>
    <xf numFmtId="0" fontId="4" fillId="13" borderId="2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177" fontId="1" fillId="13" borderId="5" xfId="0" applyNumberFormat="1" applyFont="1" applyFill="1" applyBorder="1" applyAlignment="1">
      <alignment vertical="center"/>
    </xf>
    <xf numFmtId="177" fontId="4" fillId="13" borderId="5" xfId="0" applyNumberFormat="1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vertical="center"/>
    </xf>
    <xf numFmtId="179" fontId="1" fillId="2" borderId="5" xfId="0" applyNumberFormat="1" applyFont="1" applyFill="1" applyBorder="1" applyAlignment="1">
      <alignment horizontal="left" vertical="center"/>
    </xf>
    <xf numFmtId="177" fontId="1" fillId="7" borderId="5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177" fontId="4" fillId="13" borderId="5" xfId="0" applyNumberFormat="1" applyFont="1" applyFill="1" applyBorder="1" applyAlignment="1">
      <alignment vertical="center"/>
    </xf>
    <xf numFmtId="177" fontId="4" fillId="0" borderId="5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179" fontId="7" fillId="2" borderId="0" xfId="0" applyNumberFormat="1" applyFont="1" applyFill="1" applyAlignment="1">
      <alignment vertical="center"/>
    </xf>
    <xf numFmtId="0" fontId="7" fillId="2" borderId="5" xfId="0" applyFont="1" applyFill="1" applyBorder="1" applyAlignment="1">
      <alignment vertical="center"/>
    </xf>
    <xf numFmtId="49" fontId="7" fillId="2" borderId="5" xfId="0" applyNumberFormat="1" applyFont="1" applyFill="1" applyBorder="1" applyAlignment="1">
      <alignment vertical="center"/>
    </xf>
    <xf numFmtId="177" fontId="7" fillId="2" borderId="5" xfId="0" applyNumberFormat="1" applyFont="1" applyFill="1" applyBorder="1" applyAlignment="1">
      <alignment vertical="center"/>
    </xf>
    <xf numFmtId="178" fontId="7" fillId="2" borderId="5" xfId="0" applyNumberFormat="1" applyFont="1" applyFill="1" applyBorder="1" applyAlignment="1">
      <alignment vertical="center"/>
    </xf>
    <xf numFmtId="179" fontId="7" fillId="2" borderId="5" xfId="0" applyNumberFormat="1" applyFont="1" applyFill="1" applyBorder="1" applyAlignment="1">
      <alignment vertical="center"/>
    </xf>
    <xf numFmtId="0" fontId="4" fillId="14" borderId="2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177" fontId="7" fillId="0" borderId="5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4" fillId="15" borderId="2" xfId="0" applyFont="1" applyFill="1" applyBorder="1" applyAlignment="1">
      <alignment horizontal="center" vertical="center" wrapText="1"/>
    </xf>
    <xf numFmtId="177" fontId="4" fillId="15" borderId="3" xfId="0" applyNumberFormat="1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177" fontId="1" fillId="15" borderId="5" xfId="0" applyNumberFormat="1" applyFont="1" applyFill="1" applyBorder="1" applyAlignment="1">
      <alignment horizontal="center" vertical="center"/>
    </xf>
    <xf numFmtId="177" fontId="4" fillId="15" borderId="5" xfId="0" applyNumberFormat="1" applyFont="1" applyFill="1" applyBorder="1" applyAlignment="1">
      <alignment horizontal="center" vertical="center"/>
    </xf>
    <xf numFmtId="177" fontId="1" fillId="15" borderId="5" xfId="0" applyNumberFormat="1" applyFont="1" applyFill="1" applyBorder="1" applyAlignment="1">
      <alignment horizontal="right" vertical="center"/>
    </xf>
    <xf numFmtId="179" fontId="4" fillId="15" borderId="5" xfId="0" applyNumberFormat="1" applyFont="1" applyFill="1" applyBorder="1" applyAlignment="1">
      <alignment horizontal="right" vertical="center"/>
    </xf>
    <xf numFmtId="0" fontId="1" fillId="8" borderId="5" xfId="0" applyFont="1" applyFill="1" applyBorder="1" applyAlignment="1">
      <alignment horizontal="left" vertical="center"/>
    </xf>
    <xf numFmtId="0" fontId="1" fillId="16" borderId="5" xfId="0" applyFont="1" applyFill="1" applyBorder="1" applyAlignment="1">
      <alignment horizontal="center" vertical="center"/>
    </xf>
    <xf numFmtId="49" fontId="1" fillId="16" borderId="5" xfId="0" applyNumberFormat="1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left" vertical="center"/>
    </xf>
    <xf numFmtId="177" fontId="1" fillId="16" borderId="5" xfId="0" applyNumberFormat="1" applyFont="1" applyFill="1" applyBorder="1" applyAlignment="1">
      <alignment horizontal="center" vertical="center"/>
    </xf>
    <xf numFmtId="178" fontId="1" fillId="16" borderId="5" xfId="0" applyNumberFormat="1" applyFont="1" applyFill="1" applyBorder="1" applyAlignment="1">
      <alignment horizontal="right" vertical="center"/>
    </xf>
    <xf numFmtId="177" fontId="1" fillId="16" borderId="5" xfId="0" applyNumberFormat="1" applyFont="1" applyFill="1" applyBorder="1" applyAlignment="1">
      <alignment horizontal="right" vertical="center"/>
    </xf>
    <xf numFmtId="179" fontId="1" fillId="16" borderId="5" xfId="0" applyNumberFormat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left" vertical="center"/>
    </xf>
    <xf numFmtId="0" fontId="1" fillId="17" borderId="5" xfId="0" applyFont="1" applyFill="1" applyBorder="1" applyAlignment="1">
      <alignment horizontal="center" vertical="center"/>
    </xf>
    <xf numFmtId="49" fontId="1" fillId="17" borderId="5" xfId="0" applyNumberFormat="1" applyFont="1" applyFill="1" applyBorder="1" applyAlignment="1">
      <alignment horizontal="center" vertical="center"/>
    </xf>
    <xf numFmtId="0" fontId="1" fillId="17" borderId="5" xfId="0" applyFont="1" applyFill="1" applyBorder="1" applyAlignment="1">
      <alignment horizontal="left" vertical="center"/>
    </xf>
    <xf numFmtId="177" fontId="1" fillId="17" borderId="5" xfId="0" applyNumberFormat="1" applyFont="1" applyFill="1" applyBorder="1" applyAlignment="1">
      <alignment horizontal="center" vertical="center"/>
    </xf>
    <xf numFmtId="178" fontId="1" fillId="17" borderId="5" xfId="0" applyNumberFormat="1" applyFont="1" applyFill="1" applyBorder="1" applyAlignment="1">
      <alignment horizontal="right" vertical="center"/>
    </xf>
    <xf numFmtId="177" fontId="1" fillId="17" borderId="5" xfId="0" applyNumberFormat="1" applyFont="1" applyFill="1" applyBorder="1" applyAlignment="1">
      <alignment horizontal="right" vertical="center"/>
    </xf>
    <xf numFmtId="179" fontId="4" fillId="17" borderId="5" xfId="0" applyNumberFormat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center" vertical="center" wrapText="1"/>
    </xf>
    <xf numFmtId="177" fontId="4" fillId="5" borderId="5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vertical="center"/>
    </xf>
    <xf numFmtId="177" fontId="4" fillId="18" borderId="5" xfId="0" applyNumberFormat="1" applyFont="1" applyFill="1" applyBorder="1" applyAlignment="1">
      <alignment horizontal="right" vertical="center"/>
    </xf>
    <xf numFmtId="49" fontId="1" fillId="5" borderId="5" xfId="0" applyNumberFormat="1" applyFont="1" applyFill="1" applyBorder="1" applyAlignment="1">
      <alignment horizontal="center" vertical="center"/>
    </xf>
    <xf numFmtId="180" fontId="1" fillId="7" borderId="5" xfId="0" applyNumberFormat="1" applyFont="1" applyFill="1" applyBorder="1" applyAlignment="1">
      <alignment horizontal="center" vertical="center"/>
    </xf>
    <xf numFmtId="181" fontId="1" fillId="0" borderId="5" xfId="0" applyNumberFormat="1" applyFont="1" applyBorder="1" applyAlignment="1">
      <alignment horizontal="right" vertical="center"/>
    </xf>
    <xf numFmtId="182" fontId="1" fillId="6" borderId="5" xfId="0" applyNumberFormat="1" applyFont="1" applyFill="1" applyBorder="1" applyAlignment="1">
      <alignment horizontal="center" vertical="center"/>
    </xf>
    <xf numFmtId="10" fontId="4" fillId="2" borderId="0" xfId="0" applyNumberFormat="1" applyFont="1" applyFill="1" applyAlignment="1">
      <alignment horizontal="center" vertical="center"/>
    </xf>
    <xf numFmtId="177" fontId="4" fillId="6" borderId="5" xfId="0" applyNumberFormat="1" applyFont="1" applyFill="1" applyBorder="1" applyAlignment="1">
      <alignment horizontal="center" vertical="center"/>
    </xf>
    <xf numFmtId="177" fontId="1" fillId="0" borderId="5" xfId="0" applyNumberFormat="1" applyFont="1" applyBorder="1" applyAlignment="1">
      <alignment vertical="center"/>
    </xf>
    <xf numFmtId="177" fontId="4" fillId="19" borderId="5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4" fillId="2" borderId="5" xfId="0" applyFont="1" applyFill="1" applyBorder="1" applyAlignment="1">
      <alignment horizontal="center" vertical="center" wrapText="1"/>
    </xf>
    <xf numFmtId="177" fontId="4" fillId="2" borderId="5" xfId="0" applyNumberFormat="1" applyFont="1" applyFill="1" applyBorder="1" applyAlignment="1">
      <alignment horizontal="center" vertical="center"/>
    </xf>
    <xf numFmtId="179" fontId="4" fillId="2" borderId="5" xfId="0" applyNumberFormat="1" applyFont="1" applyFill="1" applyBorder="1" applyAlignment="1">
      <alignment horizontal="right" vertical="center"/>
    </xf>
    <xf numFmtId="0" fontId="4" fillId="15" borderId="4" xfId="0" applyFont="1" applyFill="1" applyBorder="1" applyAlignment="1">
      <alignment horizontal="center" vertical="center" wrapText="1"/>
    </xf>
    <xf numFmtId="0" fontId="4" fillId="20" borderId="2" xfId="0" applyFont="1" applyFill="1" applyBorder="1" applyAlignment="1">
      <alignment horizontal="center" vertical="center"/>
    </xf>
    <xf numFmtId="177" fontId="4" fillId="20" borderId="3" xfId="0" applyNumberFormat="1" applyFont="1" applyFill="1" applyBorder="1" applyAlignment="1">
      <alignment horizontal="center" vertical="center"/>
    </xf>
    <xf numFmtId="0" fontId="4" fillId="20" borderId="3" xfId="0" applyFont="1" applyFill="1" applyBorder="1" applyAlignment="1">
      <alignment horizontal="center" vertical="center"/>
    </xf>
    <xf numFmtId="0" fontId="4" fillId="20" borderId="4" xfId="0" applyFont="1" applyFill="1" applyBorder="1" applyAlignment="1">
      <alignment horizontal="center" vertical="center"/>
    </xf>
    <xf numFmtId="177" fontId="4" fillId="20" borderId="4" xfId="0" applyNumberFormat="1" applyFont="1" applyFill="1" applyBorder="1" applyAlignment="1">
      <alignment vertical="center"/>
    </xf>
    <xf numFmtId="177" fontId="4" fillId="20" borderId="5" xfId="0" applyNumberFormat="1" applyFont="1" applyFill="1" applyBorder="1" applyAlignment="1">
      <alignment vertical="center"/>
    </xf>
    <xf numFmtId="179" fontId="4" fillId="20" borderId="5" xfId="0" applyNumberFormat="1" applyFont="1" applyFill="1" applyBorder="1" applyAlignment="1">
      <alignment vertical="center"/>
    </xf>
    <xf numFmtId="10" fontId="4" fillId="8" borderId="5" xfId="0" applyNumberFormat="1" applyFont="1" applyFill="1" applyBorder="1" applyAlignment="1">
      <alignment horizontal="center" vertical="center"/>
    </xf>
    <xf numFmtId="183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177" fontId="4" fillId="5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177" fontId="1" fillId="5" borderId="0" xfId="0" applyNumberFormat="1" applyFont="1" applyFill="1" applyAlignment="1">
      <alignment horizontal="center" vertical="center"/>
    </xf>
    <xf numFmtId="177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right" vertical="center"/>
    </xf>
    <xf numFmtId="0" fontId="5" fillId="5" borderId="0" xfId="0" applyFont="1" applyFill="1" applyAlignment="1">
      <alignment vertical="center"/>
    </xf>
    <xf numFmtId="9" fontId="4" fillId="2" borderId="0" xfId="0" applyNumberFormat="1" applyFont="1" applyFill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9" fontId="4" fillId="4" borderId="5" xfId="0" applyNumberFormat="1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84" fontId="1" fillId="0" borderId="0" xfId="0" applyNumberFormat="1" applyFont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183" fontId="4" fillId="6" borderId="5" xfId="0" applyNumberFormat="1" applyFont="1" applyFill="1" applyBorder="1" applyAlignment="1">
      <alignment horizontal="center" vertical="center"/>
    </xf>
    <xf numFmtId="183" fontId="4" fillId="4" borderId="5" xfId="0" applyNumberFormat="1" applyFont="1" applyFill="1" applyBorder="1" applyAlignment="1">
      <alignment horizontal="center" vertical="center"/>
    </xf>
    <xf numFmtId="49" fontId="1" fillId="9" borderId="5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9" borderId="4" xfId="0" applyFont="1" applyFill="1" applyBorder="1" applyAlignment="1">
      <alignment vertical="center"/>
    </xf>
    <xf numFmtId="177" fontId="1" fillId="9" borderId="5" xfId="0" applyNumberFormat="1" applyFont="1" applyFill="1" applyBorder="1" applyAlignment="1">
      <alignment vertical="center"/>
    </xf>
    <xf numFmtId="3" fontId="1" fillId="9" borderId="5" xfId="0" applyNumberFormat="1" applyFont="1" applyFill="1" applyBorder="1" applyAlignment="1">
      <alignment horizontal="right" vertical="center"/>
    </xf>
    <xf numFmtId="3" fontId="5" fillId="0" borderId="0" xfId="0" applyNumberFormat="1" applyFont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177" fontId="1" fillId="6" borderId="5" xfId="0" applyNumberFormat="1" applyFont="1" applyFill="1" applyBorder="1" applyAlignment="1">
      <alignment vertical="center"/>
    </xf>
    <xf numFmtId="3" fontId="1" fillId="0" borderId="5" xfId="0" applyNumberFormat="1" applyFont="1" applyBorder="1" applyAlignment="1">
      <alignment horizontal="right" vertical="center"/>
    </xf>
    <xf numFmtId="180" fontId="1" fillId="0" borderId="5" xfId="0" applyNumberFormat="1" applyFont="1" applyBorder="1" applyAlignment="1">
      <alignment vertical="center"/>
    </xf>
    <xf numFmtId="4" fontId="5" fillId="0" borderId="0" xfId="0" applyNumberFormat="1" applyFont="1" applyAlignment="1">
      <alignment vertical="center"/>
    </xf>
    <xf numFmtId="0" fontId="1" fillId="0" borderId="5" xfId="0" applyFont="1" applyBorder="1" applyAlignment="1">
      <alignment horizontal="right" vertical="center"/>
    </xf>
    <xf numFmtId="3" fontId="1" fillId="2" borderId="5" xfId="0" applyNumberFormat="1" applyFont="1" applyFill="1" applyBorder="1" applyAlignment="1">
      <alignment horizontal="right" vertical="center"/>
    </xf>
    <xf numFmtId="180" fontId="1" fillId="2" borderId="5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1" fillId="18" borderId="5" xfId="0" applyFont="1" applyFill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176" fontId="2" fillId="3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177" fontId="4" fillId="5" borderId="6" xfId="0" applyNumberFormat="1" applyFont="1" applyFill="1" applyBorder="1" applyAlignment="1">
      <alignment horizontal="center" vertical="center" wrapText="1"/>
    </xf>
    <xf numFmtId="177" fontId="4" fillId="2" borderId="6" xfId="0" applyNumberFormat="1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/>
    </xf>
    <xf numFmtId="0" fontId="1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9" fillId="21" borderId="0" xfId="0" applyFont="1" applyFill="1" applyAlignment="1">
      <alignment horizontal="center" vertical="center"/>
    </xf>
    <xf numFmtId="0" fontId="0" fillId="23" borderId="0" xfId="0" applyFill="1" applyAlignment="1">
      <alignment vertical="center"/>
    </xf>
    <xf numFmtId="3" fontId="0" fillId="22" borderId="14" xfId="0" applyNumberFormat="1" applyFill="1" applyBorder="1" applyAlignment="1">
      <alignment horizontal="right" vertical="center"/>
    </xf>
    <xf numFmtId="0" fontId="0" fillId="22" borderId="14" xfId="0" applyFill="1" applyBorder="1" applyAlignment="1">
      <alignment horizontal="center" vertical="center"/>
    </xf>
    <xf numFmtId="0" fontId="0" fillId="22" borderId="14" xfId="0" applyFill="1" applyBorder="1" applyAlignment="1">
      <alignment vertical="center"/>
    </xf>
    <xf numFmtId="3" fontId="0" fillId="22" borderId="14" xfId="0" applyNumberFormat="1" applyFill="1" applyBorder="1" applyAlignment="1">
      <alignment vertical="center"/>
    </xf>
    <xf numFmtId="10" fontId="0" fillId="22" borderId="14" xfId="0" applyNumberFormat="1" applyFill="1" applyBorder="1" applyAlignment="1">
      <alignment vertical="center"/>
    </xf>
    <xf numFmtId="0" fontId="0" fillId="23" borderId="14" xfId="0" applyFill="1" applyBorder="1" applyAlignment="1">
      <alignment horizontal="center" vertical="center"/>
    </xf>
    <xf numFmtId="0" fontId="0" fillId="23" borderId="14" xfId="0" applyFill="1" applyBorder="1" applyAlignment="1">
      <alignment vertical="center"/>
    </xf>
    <xf numFmtId="3" fontId="0" fillId="23" borderId="14" xfId="0" applyNumberFormat="1" applyFill="1" applyBorder="1" applyAlignment="1">
      <alignment vertical="center"/>
    </xf>
    <xf numFmtId="10" fontId="0" fillId="23" borderId="14" xfId="0" applyNumberFormat="1" applyFill="1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4" borderId="14" xfId="0" applyFill="1" applyBorder="1" applyAlignment="1">
      <alignment vertical="center"/>
    </xf>
    <xf numFmtId="3" fontId="0" fillId="24" borderId="14" xfId="0" applyNumberFormat="1" applyFill="1" applyBorder="1" applyAlignment="1">
      <alignment vertical="center"/>
    </xf>
    <xf numFmtId="10" fontId="0" fillId="24" borderId="14" xfId="0" applyNumberFormat="1" applyFill="1" applyBorder="1" applyAlignment="1">
      <alignment vertical="center"/>
    </xf>
    <xf numFmtId="3" fontId="0" fillId="25" borderId="14" xfId="0" applyNumberFormat="1" applyFill="1" applyBorder="1" applyAlignment="1">
      <alignment horizontal="right" vertical="center"/>
    </xf>
    <xf numFmtId="0" fontId="0" fillId="25" borderId="14" xfId="0" applyFill="1" applyBorder="1" applyAlignment="1">
      <alignment horizontal="center" vertical="center"/>
    </xf>
    <xf numFmtId="0" fontId="0" fillId="25" borderId="14" xfId="0" applyFill="1" applyBorder="1" applyAlignment="1">
      <alignment vertical="center"/>
    </xf>
    <xf numFmtId="3" fontId="0" fillId="25" borderId="14" xfId="0" applyNumberFormat="1" applyFill="1" applyBorder="1" applyAlignment="1">
      <alignment vertical="center"/>
    </xf>
    <xf numFmtId="10" fontId="0" fillId="25" borderId="14" xfId="0" applyNumberFormat="1" applyFill="1" applyBorder="1" applyAlignment="1">
      <alignment vertical="center"/>
    </xf>
    <xf numFmtId="3" fontId="0" fillId="26" borderId="14" xfId="0" applyNumberFormat="1" applyFill="1" applyBorder="1" applyAlignment="1">
      <alignment horizontal="right" vertical="center"/>
    </xf>
    <xf numFmtId="0" fontId="0" fillId="26" borderId="14" xfId="0" applyFill="1" applyBorder="1" applyAlignment="1">
      <alignment horizontal="center" vertical="center"/>
    </xf>
    <xf numFmtId="0" fontId="0" fillId="26" borderId="14" xfId="0" applyFill="1" applyBorder="1" applyAlignment="1">
      <alignment vertical="center"/>
    </xf>
    <xf numFmtId="3" fontId="0" fillId="26" borderId="14" xfId="0" applyNumberFormat="1" applyFill="1" applyBorder="1" applyAlignment="1">
      <alignment vertical="center"/>
    </xf>
    <xf numFmtId="10" fontId="0" fillId="26" borderId="14" xfId="0" applyNumberFormat="1" applyFill="1" applyBorder="1" applyAlignment="1">
      <alignment vertical="center"/>
    </xf>
    <xf numFmtId="0" fontId="9" fillId="27" borderId="14" xfId="0" applyFont="1" applyFill="1" applyBorder="1" applyAlignment="1">
      <alignment horizontal="center" vertical="center"/>
    </xf>
    <xf numFmtId="3" fontId="9" fillId="27" borderId="14" xfId="0" applyNumberFormat="1" applyFont="1" applyFill="1" applyBorder="1" applyAlignment="1">
      <alignment vertical="center"/>
    </xf>
    <xf numFmtId="0" fontId="0" fillId="27" borderId="14" xfId="0" applyFill="1" applyBorder="1" applyAlignment="1">
      <alignment vertical="center"/>
    </xf>
    <xf numFmtId="10" fontId="9" fillId="27" borderId="14" xfId="0" applyNumberFormat="1" applyFont="1" applyFill="1" applyBorder="1" applyAlignment="1">
      <alignment vertical="center"/>
    </xf>
    <xf numFmtId="0" fontId="9" fillId="21" borderId="14" xfId="0" applyFont="1" applyFill="1" applyBorder="1" applyAlignment="1">
      <alignment horizontal="center" vertical="center" wrapText="1"/>
    </xf>
    <xf numFmtId="0" fontId="0" fillId="26" borderId="15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26" borderId="17" xfId="0" applyFill="1" applyBorder="1" applyAlignment="1">
      <alignment horizontal="center" vertical="center" wrapText="1"/>
    </xf>
    <xf numFmtId="0" fontId="0" fillId="25" borderId="15" xfId="0" applyFill="1" applyBorder="1" applyAlignment="1">
      <alignment horizontal="center" vertical="center" wrapText="1"/>
    </xf>
    <xf numFmtId="0" fontId="0" fillId="25" borderId="17" xfId="0" applyFill="1" applyBorder="1" applyAlignment="1">
      <alignment horizontal="center" vertical="center" wrapText="1"/>
    </xf>
    <xf numFmtId="0" fontId="0" fillId="24" borderId="15" xfId="0" applyFill="1" applyBorder="1" applyAlignment="1">
      <alignment horizontal="center" vertical="center" wrapText="1"/>
    </xf>
    <xf numFmtId="0" fontId="0" fillId="24" borderId="16" xfId="0" applyFill="1" applyBorder="1" applyAlignment="1">
      <alignment horizontal="center" vertical="center" wrapText="1"/>
    </xf>
    <xf numFmtId="0" fontId="0" fillId="24" borderId="17" xfId="0" applyFill="1" applyBorder="1" applyAlignment="1">
      <alignment horizontal="center" vertical="center" wrapText="1"/>
    </xf>
    <xf numFmtId="0" fontId="0" fillId="23" borderId="15" xfId="0" applyFill="1" applyBorder="1" applyAlignment="1">
      <alignment horizontal="center" vertical="center" wrapText="1"/>
    </xf>
    <xf numFmtId="0" fontId="0" fillId="23" borderId="16" xfId="0" applyFill="1" applyBorder="1" applyAlignment="1">
      <alignment horizontal="center" vertical="center" wrapText="1"/>
    </xf>
    <xf numFmtId="0" fontId="0" fillId="23" borderId="17" xfId="0" applyFill="1" applyBorder="1" applyAlignment="1">
      <alignment horizontal="center" vertical="center" wrapText="1"/>
    </xf>
    <xf numFmtId="0" fontId="0" fillId="22" borderId="15" xfId="0" applyFill="1" applyBorder="1" applyAlignment="1">
      <alignment horizontal="center" vertical="center" wrapText="1"/>
    </xf>
    <xf numFmtId="0" fontId="0" fillId="22" borderId="16" xfId="0" applyFill="1" applyBorder="1" applyAlignment="1">
      <alignment horizontal="center" vertical="center" wrapText="1"/>
    </xf>
    <xf numFmtId="0" fontId="0" fillId="22" borderId="17" xfId="0" applyFill="1" applyBorder="1" applyAlignment="1">
      <alignment horizontal="center" vertical="center" wrapText="1"/>
    </xf>
    <xf numFmtId="0" fontId="0" fillId="28" borderId="14" xfId="0" applyFill="1" applyBorder="1" applyAlignment="1">
      <alignment horizontal="center" vertical="center"/>
    </xf>
    <xf numFmtId="0" fontId="0" fillId="28" borderId="14" xfId="0" applyFill="1" applyBorder="1" applyAlignment="1">
      <alignment vertical="center"/>
    </xf>
    <xf numFmtId="3" fontId="0" fillId="28" borderId="14" xfId="0" applyNumberFormat="1" applyFill="1" applyBorder="1" applyAlignment="1">
      <alignment vertical="center"/>
    </xf>
    <xf numFmtId="3" fontId="11" fillId="28" borderId="14" xfId="0" applyNumberFormat="1" applyFont="1" applyFill="1" applyBorder="1" applyAlignment="1">
      <alignment vertical="center"/>
    </xf>
    <xf numFmtId="10" fontId="11" fillId="28" borderId="14" xfId="0" applyNumberFormat="1" applyFont="1" applyFill="1" applyBorder="1" applyAlignment="1">
      <alignment vertical="center"/>
    </xf>
    <xf numFmtId="0" fontId="0" fillId="29" borderId="14" xfId="0" applyFill="1" applyBorder="1" applyAlignment="1">
      <alignment horizontal="center" vertical="center"/>
    </xf>
    <xf numFmtId="0" fontId="0" fillId="29" borderId="14" xfId="0" applyFill="1" applyBorder="1" applyAlignment="1">
      <alignment vertical="center"/>
    </xf>
    <xf numFmtId="3" fontId="0" fillId="29" borderId="14" xfId="0" applyNumberFormat="1" applyFill="1" applyBorder="1" applyAlignment="1">
      <alignment vertical="center"/>
    </xf>
    <xf numFmtId="3" fontId="12" fillId="29" borderId="14" xfId="0" applyNumberFormat="1" applyFont="1" applyFill="1" applyBorder="1" applyAlignment="1">
      <alignment vertical="center"/>
    </xf>
    <xf numFmtId="10" fontId="12" fillId="29" borderId="14" xfId="0" applyNumberFormat="1" applyFont="1" applyFill="1" applyBorder="1" applyAlignment="1">
      <alignment vertical="center"/>
    </xf>
    <xf numFmtId="3" fontId="0" fillId="30" borderId="14" xfId="0" applyNumberFormat="1" applyFill="1" applyBorder="1" applyAlignment="1">
      <alignment horizontal="right" vertical="center"/>
    </xf>
    <xf numFmtId="0" fontId="0" fillId="30" borderId="14" xfId="0" applyFill="1" applyBorder="1" applyAlignment="1">
      <alignment horizontal="center" vertical="center"/>
    </xf>
    <xf numFmtId="0" fontId="0" fillId="30" borderId="14" xfId="0" applyFill="1" applyBorder="1" applyAlignment="1">
      <alignment vertical="center"/>
    </xf>
    <xf numFmtId="3" fontId="0" fillId="30" borderId="14" xfId="0" applyNumberFormat="1" applyFill="1" applyBorder="1" applyAlignment="1">
      <alignment vertical="center"/>
    </xf>
    <xf numFmtId="3" fontId="14" fillId="30" borderId="14" xfId="0" applyNumberFormat="1" applyFont="1" applyFill="1" applyBorder="1" applyAlignment="1">
      <alignment vertical="center"/>
    </xf>
    <xf numFmtId="10" fontId="14" fillId="30" borderId="14" xfId="0" applyNumberFormat="1" applyFont="1" applyFill="1" applyBorder="1" applyAlignment="1">
      <alignment vertical="center"/>
    </xf>
    <xf numFmtId="3" fontId="0" fillId="31" borderId="14" xfId="0" applyNumberFormat="1" applyFill="1" applyBorder="1" applyAlignment="1">
      <alignment horizontal="right" vertical="center"/>
    </xf>
    <xf numFmtId="0" fontId="0" fillId="31" borderId="14" xfId="0" applyFill="1" applyBorder="1" applyAlignment="1">
      <alignment horizontal="center" vertical="center"/>
    </xf>
    <xf numFmtId="0" fontId="0" fillId="31" borderId="14" xfId="0" applyFill="1" applyBorder="1" applyAlignment="1">
      <alignment vertical="center"/>
    </xf>
    <xf numFmtId="3" fontId="0" fillId="31" borderId="14" xfId="0" applyNumberFormat="1" applyFill="1" applyBorder="1" applyAlignment="1">
      <alignment vertical="center"/>
    </xf>
    <xf numFmtId="3" fontId="15" fillId="31" borderId="14" xfId="0" applyNumberFormat="1" applyFont="1" applyFill="1" applyBorder="1" applyAlignment="1">
      <alignment vertical="center"/>
    </xf>
    <xf numFmtId="10" fontId="15" fillId="31" borderId="14" xfId="0" applyNumberFormat="1" applyFont="1" applyFill="1" applyBorder="1" applyAlignment="1">
      <alignment vertical="center"/>
    </xf>
    <xf numFmtId="0" fontId="0" fillId="36" borderId="0" xfId="0" applyFill="1" applyAlignment="1">
      <alignment vertical="center"/>
    </xf>
    <xf numFmtId="3" fontId="0" fillId="0" borderId="0" xfId="0" applyNumberFormat="1" applyAlignment="1">
      <alignment vertical="center"/>
    </xf>
    <xf numFmtId="0" fontId="11" fillId="28" borderId="14" xfId="0" applyFont="1" applyFill="1" applyBorder="1" applyAlignment="1">
      <alignment horizontal="center" vertical="center" wrapText="1"/>
    </xf>
    <xf numFmtId="3" fontId="0" fillId="28" borderId="14" xfId="0" applyNumberFormat="1" applyFill="1" applyBorder="1" applyAlignment="1">
      <alignment horizontal="center" vertical="center"/>
    </xf>
    <xf numFmtId="0" fontId="12" fillId="29" borderId="14" xfId="0" applyFont="1" applyFill="1" applyBorder="1" applyAlignment="1">
      <alignment horizontal="center" vertical="center" wrapText="1"/>
    </xf>
    <xf numFmtId="3" fontId="0" fillId="29" borderId="14" xfId="0" applyNumberFormat="1" applyFill="1" applyBorder="1" applyAlignment="1">
      <alignment horizontal="center" vertical="center"/>
    </xf>
    <xf numFmtId="0" fontId="14" fillId="30" borderId="14" xfId="0" applyFont="1" applyFill="1" applyBorder="1" applyAlignment="1">
      <alignment horizontal="center" vertical="center" wrapText="1"/>
    </xf>
    <xf numFmtId="0" fontId="15" fillId="31" borderId="14" xfId="0" applyFont="1" applyFill="1" applyBorder="1" applyAlignment="1">
      <alignment horizontal="center" vertical="center" wrapText="1"/>
    </xf>
    <xf numFmtId="3" fontId="0" fillId="32" borderId="14" xfId="0" applyNumberFormat="1" applyFill="1" applyBorder="1" applyAlignment="1">
      <alignment vertical="center"/>
    </xf>
    <xf numFmtId="0" fontId="0" fillId="32" borderId="14" xfId="0" applyFill="1" applyBorder="1" applyAlignment="1">
      <alignment horizontal="center" vertical="center"/>
    </xf>
    <xf numFmtId="0" fontId="0" fillId="32" borderId="14" xfId="0" applyFill="1" applyBorder="1" applyAlignment="1">
      <alignment vertical="center"/>
    </xf>
    <xf numFmtId="10" fontId="0" fillId="32" borderId="14" xfId="0" applyNumberFormat="1" applyFill="1" applyBorder="1" applyAlignment="1">
      <alignment vertical="center"/>
    </xf>
    <xf numFmtId="0" fontId="17" fillId="33" borderId="14" xfId="0" applyFont="1" applyFill="1" applyBorder="1" applyAlignment="1">
      <alignment horizontal="center" vertical="center"/>
    </xf>
    <xf numFmtId="0" fontId="0" fillId="33" borderId="14" xfId="0" applyFill="1" applyBorder="1" applyAlignment="1">
      <alignment vertical="center"/>
    </xf>
    <xf numFmtId="3" fontId="17" fillId="33" borderId="14" xfId="0" applyNumberFormat="1" applyFont="1" applyFill="1" applyBorder="1" applyAlignment="1">
      <alignment vertical="center"/>
    </xf>
    <xf numFmtId="10" fontId="17" fillId="33" borderId="14" xfId="0" applyNumberFormat="1" applyFont="1" applyFill="1" applyBorder="1" applyAlignment="1">
      <alignment vertical="center"/>
    </xf>
    <xf numFmtId="0" fontId="18" fillId="34" borderId="14" xfId="0" applyFont="1" applyFill="1" applyBorder="1" applyAlignment="1">
      <alignment horizontal="center" vertical="center"/>
    </xf>
    <xf numFmtId="3" fontId="0" fillId="34" borderId="14" xfId="0" applyNumberFormat="1" applyFill="1" applyBorder="1" applyAlignment="1">
      <alignment vertical="center"/>
    </xf>
    <xf numFmtId="0" fontId="0" fillId="34" borderId="14" xfId="0" applyFill="1" applyBorder="1" applyAlignment="1">
      <alignment horizontal="center" vertical="center"/>
    </xf>
    <xf numFmtId="0" fontId="0" fillId="34" borderId="14" xfId="0" applyFill="1" applyBorder="1" applyAlignment="1">
      <alignment vertical="center"/>
    </xf>
    <xf numFmtId="185" fontId="0" fillId="34" borderId="14" xfId="0" applyNumberFormat="1" applyFill="1" applyBorder="1" applyAlignment="1">
      <alignment vertical="center"/>
    </xf>
    <xf numFmtId="4" fontId="0" fillId="34" borderId="14" xfId="0" applyNumberFormat="1" applyFill="1" applyBorder="1" applyAlignment="1">
      <alignment vertical="center"/>
    </xf>
    <xf numFmtId="10" fontId="0" fillId="34" borderId="14" xfId="0" applyNumberFormat="1" applyFill="1" applyBorder="1" applyAlignment="1">
      <alignment vertical="center"/>
    </xf>
    <xf numFmtId="0" fontId="19" fillId="28" borderId="14" xfId="0" applyFont="1" applyFill="1" applyBorder="1" applyAlignment="1">
      <alignment horizontal="center" vertical="center"/>
    </xf>
    <xf numFmtId="3" fontId="19" fillId="28" borderId="14" xfId="0" applyNumberFormat="1" applyFont="1" applyFill="1" applyBorder="1" applyAlignment="1">
      <alignment vertical="center"/>
    </xf>
    <xf numFmtId="10" fontId="19" fillId="28" borderId="14" xfId="0" applyNumberFormat="1" applyFont="1" applyFill="1" applyBorder="1" applyAlignment="1">
      <alignment vertical="center"/>
    </xf>
    <xf numFmtId="3" fontId="0" fillId="35" borderId="14" xfId="0" applyNumberFormat="1" applyFill="1" applyBorder="1" applyAlignment="1">
      <alignment vertical="center"/>
    </xf>
    <xf numFmtId="0" fontId="0" fillId="35" borderId="14" xfId="0" applyFill="1" applyBorder="1" applyAlignment="1">
      <alignment horizontal="center" vertical="center"/>
    </xf>
    <xf numFmtId="0" fontId="0" fillId="35" borderId="14" xfId="0" applyFill="1" applyBorder="1" applyAlignment="1">
      <alignment vertical="center"/>
    </xf>
    <xf numFmtId="10" fontId="0" fillId="35" borderId="14" xfId="0" applyNumberFormat="1" applyFill="1" applyBorder="1" applyAlignment="1">
      <alignment vertical="center"/>
    </xf>
    <xf numFmtId="0" fontId="19" fillId="36" borderId="14" xfId="0" applyFont="1" applyFill="1" applyBorder="1" applyAlignment="1">
      <alignment horizontal="center" vertical="center"/>
    </xf>
    <xf numFmtId="0" fontId="0" fillId="36" borderId="14" xfId="0" applyFill="1" applyBorder="1" applyAlignment="1">
      <alignment vertical="center"/>
    </xf>
    <xf numFmtId="3" fontId="19" fillId="36" borderId="14" xfId="0" applyNumberFormat="1" applyFont="1" applyFill="1" applyBorder="1" applyAlignment="1">
      <alignment vertical="center"/>
    </xf>
    <xf numFmtId="10" fontId="19" fillId="36" borderId="14" xfId="0" applyNumberFormat="1" applyFont="1" applyFill="1" applyBorder="1" applyAlignment="1">
      <alignment vertical="center"/>
    </xf>
    <xf numFmtId="0" fontId="13" fillId="37" borderId="14" xfId="0" applyFont="1" applyFill="1" applyBorder="1" applyAlignment="1">
      <alignment horizontal="center" vertical="center" wrapText="1"/>
    </xf>
    <xf numFmtId="3" fontId="0" fillId="37" borderId="14" xfId="0" applyNumberFormat="1" applyFill="1" applyBorder="1" applyAlignment="1">
      <alignment vertical="center"/>
    </xf>
    <xf numFmtId="0" fontId="0" fillId="37" borderId="14" xfId="0" applyFill="1" applyBorder="1" applyAlignment="1">
      <alignment horizontal="center" vertical="center"/>
    </xf>
    <xf numFmtId="0" fontId="0" fillId="37" borderId="14" xfId="0" applyFill="1" applyBorder="1" applyAlignment="1">
      <alignment vertical="center"/>
    </xf>
    <xf numFmtId="10" fontId="0" fillId="37" borderId="14" xfId="0" applyNumberFormat="1" applyFill="1" applyBorder="1" applyAlignment="1">
      <alignment vertical="center"/>
    </xf>
    <xf numFmtId="0" fontId="14" fillId="31" borderId="14" xfId="0" applyFont="1" applyFill="1" applyBorder="1" applyAlignment="1">
      <alignment horizontal="center" vertical="center"/>
    </xf>
    <xf numFmtId="3" fontId="14" fillId="31" borderId="14" xfId="0" applyNumberFormat="1" applyFont="1" applyFill="1" applyBorder="1" applyAlignment="1">
      <alignment vertical="center"/>
    </xf>
    <xf numFmtId="10" fontId="14" fillId="31" borderId="14" xfId="0" applyNumberFormat="1" applyFont="1" applyFill="1" applyBorder="1" applyAlignment="1">
      <alignment vertical="center"/>
    </xf>
    <xf numFmtId="0" fontId="20" fillId="38" borderId="14" xfId="0" applyFont="1" applyFill="1" applyBorder="1" applyAlignment="1">
      <alignment horizontal="center" vertical="center" wrapText="1"/>
    </xf>
    <xf numFmtId="3" fontId="0" fillId="38" borderId="14" xfId="0" applyNumberFormat="1" applyFill="1" applyBorder="1" applyAlignment="1">
      <alignment vertical="center"/>
    </xf>
    <xf numFmtId="0" fontId="0" fillId="38" borderId="14" xfId="0" applyFill="1" applyBorder="1" applyAlignment="1">
      <alignment horizontal="center" vertical="center"/>
    </xf>
    <xf numFmtId="0" fontId="0" fillId="38" borderId="14" xfId="0" applyFill="1" applyBorder="1" applyAlignment="1">
      <alignment vertical="center"/>
    </xf>
    <xf numFmtId="10" fontId="0" fillId="38" borderId="14" xfId="0" applyNumberFormat="1" applyFill="1" applyBorder="1" applyAlignment="1">
      <alignment vertical="center"/>
    </xf>
    <xf numFmtId="0" fontId="21" fillId="39" borderId="14" xfId="0" applyFont="1" applyFill="1" applyBorder="1" applyAlignment="1">
      <alignment horizontal="center" vertical="center"/>
    </xf>
    <xf numFmtId="0" fontId="0" fillId="39" borderId="14" xfId="0" applyFill="1" applyBorder="1" applyAlignment="1">
      <alignment vertical="center"/>
    </xf>
    <xf numFmtId="3" fontId="21" fillId="39" borderId="14" xfId="0" applyNumberFormat="1" applyFont="1" applyFill="1" applyBorder="1" applyAlignment="1">
      <alignment vertical="center"/>
    </xf>
    <xf numFmtId="10" fontId="21" fillId="39" borderId="14" xfId="0" applyNumberFormat="1" applyFont="1" applyFill="1" applyBorder="1" applyAlignment="1">
      <alignment vertical="center"/>
    </xf>
    <xf numFmtId="0" fontId="9" fillId="40" borderId="14" xfId="0" applyFont="1" applyFill="1" applyBorder="1" applyAlignment="1">
      <alignment horizontal="center" vertical="center"/>
    </xf>
    <xf numFmtId="3" fontId="9" fillId="40" borderId="14" xfId="0" applyNumberFormat="1" applyFont="1" applyFill="1" applyBorder="1" applyAlignment="1">
      <alignment vertical="center"/>
    </xf>
    <xf numFmtId="0" fontId="0" fillId="40" borderId="14" xfId="0" applyFill="1" applyBorder="1" applyAlignment="1">
      <alignment vertical="center"/>
    </xf>
    <xf numFmtId="10" fontId="9" fillId="40" borderId="14" xfId="0" applyNumberFormat="1" applyFont="1" applyFill="1" applyBorder="1" applyAlignment="1">
      <alignment vertical="center"/>
    </xf>
    <xf numFmtId="0" fontId="9" fillId="41" borderId="14" xfId="0" applyFont="1" applyFill="1" applyBorder="1" applyAlignment="1">
      <alignment horizontal="center" vertical="center"/>
    </xf>
    <xf numFmtId="3" fontId="9" fillId="41" borderId="14" xfId="0" applyNumberFormat="1" applyFont="1" applyFill="1" applyBorder="1" applyAlignment="1">
      <alignment vertical="center"/>
    </xf>
    <xf numFmtId="0" fontId="0" fillId="41" borderId="14" xfId="0" applyFill="1" applyBorder="1" applyAlignment="1">
      <alignment vertical="center"/>
    </xf>
    <xf numFmtId="10" fontId="9" fillId="41" borderId="14" xfId="0" applyNumberFormat="1" applyFont="1" applyFill="1" applyBorder="1" applyAlignment="1">
      <alignment vertical="center"/>
    </xf>
    <xf numFmtId="0" fontId="16" fillId="32" borderId="14" xfId="0" applyFont="1" applyFill="1" applyBorder="1" applyAlignment="1">
      <alignment horizontal="center" vertical="center" wrapText="1"/>
    </xf>
    <xf numFmtId="0" fontId="0" fillId="32" borderId="14" xfId="0" applyFill="1" applyBorder="1" applyAlignment="1">
      <alignment vertical="center" wrapText="1"/>
    </xf>
    <xf numFmtId="0" fontId="18" fillId="35" borderId="14" xfId="0" applyFont="1" applyFill="1" applyBorder="1" applyAlignment="1">
      <alignment horizontal="center" vertical="center" wrapText="1"/>
    </xf>
    <xf numFmtId="0" fontId="0" fillId="35" borderId="14" xfId="0" applyFill="1" applyBorder="1" applyAlignment="1">
      <alignment vertical="center" wrapText="1"/>
    </xf>
    <xf numFmtId="0" fontId="0" fillId="37" borderId="14" xfId="0" applyFill="1" applyBorder="1" applyAlignment="1">
      <alignment vertical="center" wrapText="1"/>
    </xf>
    <xf numFmtId="0" fontId="0" fillId="38" borderId="14" xfId="0" applyFill="1" applyBorder="1" applyAlignment="1">
      <alignment vertical="center" wrapText="1"/>
    </xf>
    <xf numFmtId="3" fontId="0" fillId="22" borderId="15" xfId="0" applyNumberFormat="1" applyFill="1" applyBorder="1" applyAlignment="1">
      <alignment horizontal="right" vertical="center"/>
    </xf>
    <xf numFmtId="3" fontId="0" fillId="22" borderId="16" xfId="0" applyNumberFormat="1" applyFill="1" applyBorder="1" applyAlignment="1">
      <alignment horizontal="right" vertical="center"/>
    </xf>
    <xf numFmtId="3" fontId="0" fillId="22" borderId="17" xfId="0" applyNumberFormat="1" applyFill="1" applyBorder="1" applyAlignment="1">
      <alignment horizontal="right" vertical="center"/>
    </xf>
    <xf numFmtId="3" fontId="0" fillId="23" borderId="15" xfId="0" applyNumberFormat="1" applyFill="1" applyBorder="1" applyAlignment="1">
      <alignment horizontal="right" vertical="center"/>
    </xf>
    <xf numFmtId="3" fontId="0" fillId="23" borderId="16" xfId="0" applyNumberFormat="1" applyFill="1" applyBorder="1" applyAlignment="1">
      <alignment horizontal="right" vertical="center"/>
    </xf>
    <xf numFmtId="3" fontId="0" fillId="23" borderId="17" xfId="0" applyNumberFormat="1" applyFill="1" applyBorder="1" applyAlignment="1">
      <alignment horizontal="right" vertical="center"/>
    </xf>
    <xf numFmtId="3" fontId="0" fillId="24" borderId="15" xfId="0" applyNumberFormat="1" applyFill="1" applyBorder="1" applyAlignment="1">
      <alignment horizontal="right" vertical="center"/>
    </xf>
    <xf numFmtId="3" fontId="0" fillId="24" borderId="16" xfId="0" applyNumberFormat="1" applyFill="1" applyBorder="1" applyAlignment="1">
      <alignment horizontal="right" vertical="center"/>
    </xf>
    <xf numFmtId="3" fontId="0" fillId="24" borderId="17" xfId="0" applyNumberFormat="1" applyFill="1" applyBorder="1" applyAlignment="1">
      <alignment horizontal="right" vertical="center"/>
    </xf>
    <xf numFmtId="3" fontId="0" fillId="32" borderId="14" xfId="0" applyNumberFormat="1" applyFill="1" applyBorder="1" applyAlignment="1">
      <alignment horizontal="right" vertical="center"/>
    </xf>
    <xf numFmtId="3" fontId="0" fillId="35" borderId="14" xfId="0" applyNumberFormat="1" applyFill="1" applyBorder="1" applyAlignment="1">
      <alignment horizontal="right" vertical="center"/>
    </xf>
    <xf numFmtId="3" fontId="0" fillId="37" borderId="14" xfId="0" applyNumberFormat="1" applyFill="1" applyBorder="1" applyAlignment="1">
      <alignment horizontal="right" vertical="center"/>
    </xf>
    <xf numFmtId="3" fontId="0" fillId="38" borderId="14" xfId="0" applyNumberFormat="1" applyFill="1" applyBorder="1" applyAlignment="1">
      <alignment horizontal="right" vertical="center"/>
    </xf>
    <xf numFmtId="0" fontId="22" fillId="0" borderId="0" xfId="0" applyFont="1" applyAlignment="1">
      <alignment vertical="center"/>
    </xf>
    <xf numFmtId="0" fontId="0" fillId="43" borderId="0" xfId="0" applyFill="1" applyAlignment="1">
      <alignment vertical="center"/>
    </xf>
    <xf numFmtId="0" fontId="0" fillId="46" borderId="0" xfId="0" applyFill="1" applyAlignment="1">
      <alignment vertical="center"/>
    </xf>
    <xf numFmtId="3" fontId="24" fillId="0" borderId="0" xfId="0" applyNumberFormat="1" applyFont="1" applyAlignment="1">
      <alignment vertical="center"/>
    </xf>
    <xf numFmtId="186" fontId="24" fillId="0" borderId="0" xfId="0" applyNumberFormat="1" applyFont="1" applyAlignment="1">
      <alignment vertical="center"/>
    </xf>
    <xf numFmtId="3" fontId="23" fillId="0" borderId="0" xfId="0" applyNumberFormat="1" applyFont="1" applyAlignment="1">
      <alignment vertical="center"/>
    </xf>
    <xf numFmtId="186" fontId="23" fillId="0" borderId="0" xfId="0" applyNumberFormat="1" applyFont="1" applyAlignment="1">
      <alignment vertical="center"/>
    </xf>
    <xf numFmtId="186" fontId="0" fillId="0" borderId="0" xfId="0" applyNumberFormat="1" applyAlignment="1">
      <alignment vertical="center"/>
    </xf>
    <xf numFmtId="0" fontId="23" fillId="22" borderId="0" xfId="0" applyFont="1" applyFill="1" applyAlignment="1">
      <alignment vertical="center"/>
    </xf>
    <xf numFmtId="0" fontId="9" fillId="42" borderId="0" xfId="0" applyFont="1" applyFill="1" applyAlignment="1">
      <alignment vertical="center"/>
    </xf>
    <xf numFmtId="0" fontId="23" fillId="24" borderId="0" xfId="0" applyFont="1" applyFill="1" applyAlignment="1">
      <alignment vertical="center"/>
    </xf>
    <xf numFmtId="0" fontId="9" fillId="44" borderId="0" xfId="0" applyFont="1" applyFill="1" applyAlignment="1">
      <alignment vertical="center"/>
    </xf>
    <xf numFmtId="0" fontId="9" fillId="45" borderId="0" xfId="0" applyFont="1" applyFill="1" applyAlignment="1">
      <alignment vertical="center"/>
    </xf>
    <xf numFmtId="17" fontId="9" fillId="21" borderId="0" xfId="0" applyNumberFormat="1" applyFont="1" applyFill="1" applyAlignment="1">
      <alignment horizontal="center" vertical="center"/>
    </xf>
    <xf numFmtId="0" fontId="25" fillId="0" borderId="0" xfId="0" applyFont="1" applyAlignment="1">
      <alignment vertical="center"/>
    </xf>
    <xf numFmtId="49" fontId="9" fillId="21" borderId="0" xfId="0" applyNumberFormat="1" applyFont="1" applyFill="1" applyAlignment="1">
      <alignment horizontal="center" vertical="center"/>
    </xf>
    <xf numFmtId="0" fontId="9" fillId="44" borderId="0" xfId="0" applyFont="1" applyFill="1" applyAlignment="1">
      <alignment horizontal="center" vertical="center"/>
    </xf>
    <xf numFmtId="49" fontId="9" fillId="44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1">
    <cellStyle name="표준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E8449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86" formatCode="0.0%"/>
      <alignment horizontal="general" vertical="center" textRotation="0" wrapText="0" indent="0" justifyLastLine="0" shrinkToFit="0" readingOrder="0"/>
    </dxf>
    <dxf>
      <numFmt numFmtId="186" formatCode="0.0%"/>
      <alignment horizontal="general" vertical="center" textRotation="0" wrapText="0" indent="0" justifyLastLine="0" shrinkToFit="0" readingOrder="0"/>
    </dxf>
    <dxf>
      <numFmt numFmtId="186" formatCode="0.0%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28CA2-69D4-4C07-B047-59F9291B2541}" name="수익금액표" displayName="수익금액표" ref="B61:E63" totalsRowShown="0" headerRowDxfId="6" dataDxfId="7">
  <autoFilter ref="B61:E63" xr:uid="{6B328CA2-69D4-4C07-B047-59F9291B2541}"/>
  <tableColumns count="4">
    <tableColumn id="1" xr3:uid="{946F5B41-8B1B-4816-845B-84692D2D1800}" name="월" dataDxfId="11">
      <calculatedColumnFormula>IF(D2="","",TEXT(D2,"yyyy-mm"))</calculatedColumnFormula>
    </tableColumn>
    <tableColumn id="2" xr3:uid="{29304B10-EB57-4B59-8BCE-46B8A453DDD2}" name="연금합계 수익금액" dataDxfId="10">
      <calculatedColumnFormula>IF(B62="","",D25)</calculatedColumnFormula>
    </tableColumn>
    <tableColumn id="3" xr3:uid="{352D2389-E244-438A-8EB7-1B05826530CE}" name="개인투자 수익금액" dataDxfId="9">
      <calculatedColumnFormula>IF(B62="","",D49)</calculatedColumnFormula>
    </tableColumn>
    <tableColumn id="4" xr3:uid="{3F06E8EA-8FFF-4273-B099-134FDF932B84}" name="전체 수익금액" dataDxfId="8">
      <calculatedColumnFormula>IF(B62="","",D53)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712115-9D0D-4CF7-9551-19E37C7EE2BE}" name="수익률표" displayName="수익률표" ref="B66:E68" totalsRowShown="0" headerRowDxfId="0" dataDxfId="1">
  <autoFilter ref="B66:E68" xr:uid="{16712115-9D0D-4CF7-9551-19E37C7EE2BE}"/>
  <tableColumns count="4">
    <tableColumn id="1" xr3:uid="{2B6E5E7A-8A85-4DDD-BE49-C153F97B2E51}" name="월" dataDxfId="5">
      <calculatedColumnFormula>IF(D2="","",TEXT(D2,"yyyy-mm"))</calculatedColumnFormula>
    </tableColumn>
    <tableColumn id="2" xr3:uid="{CC5AC977-F7ED-496B-B88F-0302CBB8F33F}" name="연금합계 수익률" dataDxfId="4">
      <calculatedColumnFormula>IF(B67="","",D26)</calculatedColumnFormula>
    </tableColumn>
    <tableColumn id="3" xr3:uid="{95BE641D-C1B5-493A-B2F2-6E19DE0F110C}" name="개인투자 수익률" dataDxfId="3">
      <calculatedColumnFormula>IF(B67="","",D50)</calculatedColumnFormula>
    </tableColumn>
    <tableColumn id="4" xr3:uid="{A1DEED68-58B2-437C-BA45-3DC148EE3DAF}" name="전체 수익률" dataDxfId="2">
      <calculatedColumnFormula>IF(B67="","",D54)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382CB1-EBFD-4E2D-BF67-FE51604DF63C}">
  <we:reference id="wa200009404" version="1.0.0.8" store="ko-KR" storeType="OMEX"/>
  <we:alternateReferences>
    <we:reference id="wa200009404" version="1.0.0.8" store="wa200009404" storeType="OMEX"/>
  </we:alternateReferences>
  <we:properties>
    <we:property name="claude.fileId" value="&quot;d968a183-2464-4ba8-825e-5e2ac11503a1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50"/>
  <sheetViews>
    <sheetView topLeftCell="A96" workbookViewId="0">
      <pane xSplit="6" topLeftCell="G1" activePane="topRight" state="frozen"/>
      <selection pane="topRight" activeCell="H2" sqref="H2"/>
    </sheetView>
  </sheetViews>
  <sheetFormatPr defaultColWidth="14.44140625" defaultRowHeight="15" customHeight="1"/>
  <cols>
    <col min="1" max="1" width="4.88671875" customWidth="1"/>
    <col min="2" max="2" width="19.44140625" customWidth="1"/>
    <col min="3" max="3" width="29.44140625" customWidth="1"/>
    <col min="4" max="4" width="10.6640625" customWidth="1"/>
    <col min="5" max="5" width="10.88671875" customWidth="1"/>
    <col min="6" max="6" width="25.88671875" customWidth="1"/>
    <col min="7" max="7" width="13.33203125" customWidth="1"/>
    <col min="8" max="8" width="13.109375" customWidth="1"/>
    <col min="9" max="9" width="16.109375" hidden="1" customWidth="1"/>
    <col min="10" max="10" width="16.109375" customWidth="1"/>
    <col min="11" max="11" width="13.33203125" customWidth="1"/>
    <col min="12" max="12" width="16.33203125" customWidth="1"/>
    <col min="13" max="13" width="16.44140625" customWidth="1"/>
    <col min="14" max="14" width="11.6640625" customWidth="1"/>
    <col min="15" max="15" width="14.33203125" customWidth="1"/>
  </cols>
  <sheetData>
    <row r="1" spans="2:15" ht="17.25" customHeight="1">
      <c r="K1" s="1"/>
      <c r="N1" s="1"/>
      <c r="O1" s="2"/>
    </row>
    <row r="2" spans="2:15" ht="17.25" customHeight="1">
      <c r="I2" s="3"/>
      <c r="J2" s="4"/>
      <c r="K2" s="157">
        <f ca="1">TODAY()</f>
        <v>46176</v>
      </c>
      <c r="L2" s="158"/>
      <c r="M2" s="158"/>
      <c r="N2" s="159"/>
      <c r="O2" s="160"/>
    </row>
    <row r="3" spans="2:15" ht="17.25" customHeight="1">
      <c r="B3" s="5"/>
      <c r="C3" s="6"/>
      <c r="D3" s="6"/>
      <c r="E3" s="6"/>
      <c r="F3" s="6"/>
      <c r="G3" s="6"/>
      <c r="H3" s="7"/>
      <c r="I3" s="7"/>
      <c r="J3" s="7"/>
      <c r="K3" s="8"/>
      <c r="L3" s="9"/>
      <c r="M3" s="9"/>
      <c r="N3" s="8"/>
      <c r="O3" s="161"/>
    </row>
    <row r="4" spans="2:15" ht="17.25" customHeight="1"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7" t="s">
        <v>5</v>
      </c>
      <c r="H4" s="7" t="s">
        <v>6</v>
      </c>
      <c r="I4" s="7"/>
      <c r="J4" s="7" t="s">
        <v>7</v>
      </c>
      <c r="K4" s="8" t="s">
        <v>8</v>
      </c>
      <c r="L4" s="9" t="s">
        <v>9</v>
      </c>
      <c r="M4" s="9" t="s">
        <v>10</v>
      </c>
      <c r="N4" s="8" t="s">
        <v>11</v>
      </c>
      <c r="O4" s="161"/>
    </row>
    <row r="5" spans="2:15" ht="17.25" customHeight="1">
      <c r="B5" s="162" t="s">
        <v>12</v>
      </c>
      <c r="C5" s="165">
        <f ca="1">IFERROR(__xludf.DUMMYFUNCTION("IMPORTRANGE(""18m7_5Vy-SocSuBMtXmritoiWfMy_VSJ0LqQCfdmFyYU/edit?gid=852545723"",""'1.자산투자(원금)'!q6"")"),113724104)</f>
        <v>113724104</v>
      </c>
      <c r="D5" s="11" t="s">
        <v>13</v>
      </c>
      <c r="E5" s="12" t="s">
        <v>14</v>
      </c>
      <c r="F5" s="13" t="s">
        <v>15</v>
      </c>
      <c r="G5" s="14">
        <v>1847</v>
      </c>
      <c r="H5" s="15">
        <v>111566</v>
      </c>
      <c r="I5" s="16"/>
      <c r="J5" s="16">
        <f t="shared" ref="J5:J6" si="0">G5*H5</f>
        <v>206062402</v>
      </c>
      <c r="K5" s="17">
        <f ca="1">IFERROR(__xludf.DUMMYFUNCTION("iferror(IF($D5=""한국"",GOOGLEFINANCE($E5),""""),)"),127675)</f>
        <v>127675</v>
      </c>
      <c r="L5" s="18">
        <f t="shared" ref="L5:L6" ca="1" si="1">$G5*K5</f>
        <v>235815725</v>
      </c>
      <c r="M5" s="18">
        <f t="shared" ref="M5:M6" ca="1" si="2">L5-$J5</f>
        <v>29753323</v>
      </c>
      <c r="N5" s="19">
        <f t="shared" ref="N5:N6" ca="1" si="3">(L5-$J5)/$J5</f>
        <v>0.14438986788089561</v>
      </c>
      <c r="O5" s="20"/>
    </row>
    <row r="6" spans="2:15" ht="17.25" customHeight="1">
      <c r="B6" s="163"/>
      <c r="C6" s="163"/>
      <c r="D6" s="11" t="s">
        <v>13</v>
      </c>
      <c r="E6" s="12" t="s">
        <v>16</v>
      </c>
      <c r="F6" s="21" t="s">
        <v>17</v>
      </c>
      <c r="G6" s="14">
        <v>6558</v>
      </c>
      <c r="H6" s="15">
        <v>11558</v>
      </c>
      <c r="I6" s="16"/>
      <c r="J6" s="16">
        <f t="shared" si="0"/>
        <v>75797364</v>
      </c>
      <c r="K6" s="17">
        <f ca="1">IFERROR(__xludf.DUMMYFUNCTION("INDEX(IMPORTXML(""https://finance.naver.com/item/main.naver?code=0162Z0"",""//p[@class='no_today']/em/span""),1)"),15205)</f>
        <v>15205</v>
      </c>
      <c r="L6" s="18">
        <f t="shared" ca="1" si="1"/>
        <v>99714390</v>
      </c>
      <c r="M6" s="18">
        <f t="shared" ca="1" si="2"/>
        <v>23917026</v>
      </c>
      <c r="N6" s="22">
        <f t="shared" ca="1" si="3"/>
        <v>0.31553902059179789</v>
      </c>
      <c r="O6" s="20"/>
    </row>
    <row r="7" spans="2:15" ht="17.25" hidden="1" customHeight="1">
      <c r="B7" s="163"/>
      <c r="C7" s="163"/>
      <c r="O7" s="23"/>
    </row>
    <row r="8" spans="2:15" ht="17.25" hidden="1" customHeight="1">
      <c r="B8" s="163"/>
      <c r="C8" s="163"/>
      <c r="D8" s="11" t="s">
        <v>13</v>
      </c>
      <c r="E8" s="12" t="s">
        <v>18</v>
      </c>
      <c r="F8" s="21" t="s">
        <v>19</v>
      </c>
      <c r="G8" s="14">
        <v>0</v>
      </c>
      <c r="H8" s="15">
        <v>14660</v>
      </c>
      <c r="I8" s="16"/>
      <c r="J8" s="16">
        <f>G8*H8</f>
        <v>0</v>
      </c>
      <c r="K8" s="17">
        <f ca="1">IFERROR(__xludf.DUMMYFUNCTION("VALUE(
 SUBSTITUTE(
  IMPORTXML(
   ""https://finance.naver.com/item/main.naver?code=0148J0"",
   ""//p[@class='no_today']/em/span""
  ),
 "","",""""
 )
)"),16275)</f>
        <v>16275</v>
      </c>
      <c r="L8" s="18">
        <f ca="1">$G8*K8</f>
        <v>0</v>
      </c>
      <c r="M8" s="18">
        <f ca="1">L8-$J8</f>
        <v>0</v>
      </c>
      <c r="N8" s="19">
        <f ca="1">IFERROR(M8/(L8),)</f>
        <v>0</v>
      </c>
      <c r="O8" s="20"/>
    </row>
    <row r="9" spans="2:15" ht="18" hidden="1" customHeight="1">
      <c r="B9" s="163"/>
      <c r="C9" s="163"/>
      <c r="D9" s="11" t="s">
        <v>13</v>
      </c>
      <c r="E9" s="12"/>
      <c r="F9" s="24"/>
      <c r="G9" s="14"/>
      <c r="H9" s="15"/>
      <c r="I9" s="16"/>
      <c r="J9" s="16"/>
      <c r="K9" s="17"/>
      <c r="L9" s="18"/>
      <c r="M9" s="18"/>
      <c r="N9" s="25"/>
      <c r="O9" s="26"/>
    </row>
    <row r="10" spans="2:15" ht="17.25" customHeight="1">
      <c r="B10" s="163"/>
      <c r="C10" s="163"/>
      <c r="D10" s="11" t="s">
        <v>13</v>
      </c>
      <c r="E10" s="12" t="s">
        <v>20</v>
      </c>
      <c r="F10" s="24" t="s">
        <v>21</v>
      </c>
      <c r="G10" s="14">
        <v>8</v>
      </c>
      <c r="H10" s="15">
        <v>10805</v>
      </c>
      <c r="I10" s="16"/>
      <c r="J10" s="16">
        <f t="shared" ref="J10:J11" si="4">G10*H10</f>
        <v>86440</v>
      </c>
      <c r="K10" s="17">
        <f ca="1">IFERROR(__xludf.DUMMYFUNCTION("iferror(IF($D10=""한국"",GOOGLEFINANCE($E10),""""),)"),15405)</f>
        <v>15405</v>
      </c>
      <c r="L10" s="18">
        <f t="shared" ref="L10:L11" ca="1" si="5">$G10*K10</f>
        <v>123240</v>
      </c>
      <c r="M10" s="18">
        <f t="shared" ref="M10:M11" ca="1" si="6">L10-$J10</f>
        <v>36800</v>
      </c>
      <c r="N10" s="25">
        <f t="shared" ref="N10:N11" ca="1" si="7">(L10-$J10)/$J10</f>
        <v>0.42572882924571959</v>
      </c>
      <c r="O10" s="26"/>
    </row>
    <row r="11" spans="2:15" ht="17.25" customHeight="1">
      <c r="B11" s="163"/>
      <c r="C11" s="163"/>
      <c r="D11" s="11" t="s">
        <v>13</v>
      </c>
      <c r="E11" s="12" t="s">
        <v>22</v>
      </c>
      <c r="F11" s="24" t="s">
        <v>23</v>
      </c>
      <c r="G11" s="14">
        <v>1</v>
      </c>
      <c r="H11" s="15">
        <v>11005</v>
      </c>
      <c r="I11" s="16"/>
      <c r="J11" s="16">
        <f t="shared" si="4"/>
        <v>11005</v>
      </c>
      <c r="K11" s="17">
        <f ca="1">IFERROR(__xludf.DUMMYFUNCTION("iferror(IF($D11=""한국"",GOOGLEFINANCE($E11),""""),)"),13815)</f>
        <v>13815</v>
      </c>
      <c r="L11" s="18">
        <f t="shared" ca="1" si="5"/>
        <v>13815</v>
      </c>
      <c r="M11" s="18">
        <f t="shared" ca="1" si="6"/>
        <v>2810</v>
      </c>
      <c r="N11" s="25">
        <f t="shared" ca="1" si="7"/>
        <v>0.25533848250795094</v>
      </c>
      <c r="O11" s="26"/>
    </row>
    <row r="12" spans="2:15" ht="17.25" hidden="1" customHeight="1">
      <c r="B12" s="163"/>
      <c r="C12" s="163"/>
      <c r="O12" s="27"/>
    </row>
    <row r="13" spans="2:15" ht="17.25" hidden="1" customHeight="1">
      <c r="B13" s="163"/>
      <c r="C13" s="163"/>
      <c r="O13" s="27"/>
    </row>
    <row r="14" spans="2:15" ht="17.25" hidden="1" customHeight="1">
      <c r="B14" s="163"/>
      <c r="C14" s="163"/>
      <c r="D14" s="28"/>
      <c r="E14" s="12"/>
      <c r="F14" s="24"/>
      <c r="G14" s="14"/>
      <c r="H14" s="15"/>
      <c r="I14" s="29"/>
      <c r="J14" s="29"/>
      <c r="K14" s="30"/>
      <c r="L14" s="31"/>
      <c r="M14" s="31"/>
      <c r="N14" s="32"/>
      <c r="O14" s="26"/>
    </row>
    <row r="15" spans="2:15" ht="17.25" hidden="1" customHeight="1">
      <c r="B15" s="164"/>
      <c r="C15" s="164"/>
      <c r="D15" s="28"/>
      <c r="E15" s="12"/>
      <c r="F15" s="33"/>
      <c r="G15" s="14"/>
      <c r="H15" s="15"/>
      <c r="I15" s="29"/>
      <c r="J15" s="29"/>
      <c r="K15" s="30"/>
      <c r="L15" s="31"/>
      <c r="M15" s="31"/>
      <c r="N15" s="32"/>
      <c r="O15" s="26"/>
    </row>
    <row r="16" spans="2:15" ht="17.25" customHeight="1">
      <c r="B16" s="34" t="s">
        <v>24</v>
      </c>
      <c r="C16" s="35"/>
      <c r="D16" s="35"/>
      <c r="E16" s="35"/>
      <c r="F16" s="36"/>
      <c r="G16" s="37"/>
      <c r="H16" s="37"/>
      <c r="I16" s="38"/>
      <c r="J16" s="38">
        <f>SUM(J5:J15)</f>
        <v>281957211</v>
      </c>
      <c r="K16" s="31"/>
      <c r="L16" s="39">
        <f ca="1">SUM(L5:L15)</f>
        <v>335667170</v>
      </c>
      <c r="M16" s="40">
        <f ca="1">L16-C5</f>
        <v>221943066</v>
      </c>
      <c r="N16" s="41">
        <f ca="1">(L16-$C5)/$C5</f>
        <v>1.9515921268546552</v>
      </c>
      <c r="O16" s="20"/>
    </row>
    <row r="17" spans="2:15" ht="17.25" customHeight="1">
      <c r="B17" s="162" t="s">
        <v>25</v>
      </c>
      <c r="C17" s="165">
        <f ca="1">IFERROR(__xludf.DUMMYFUNCTION("IMPORTRANGE(""18m7_5Vy-SocSuBMtXmritoiWfMy_VSJ0LqQCfdmFyYU/edit?gid=852545723"",""'1.자산투자(원금)'!q7"")"),16391196)</f>
        <v>16391196</v>
      </c>
      <c r="D17" s="11" t="s">
        <v>13</v>
      </c>
      <c r="E17" s="12" t="s">
        <v>14</v>
      </c>
      <c r="F17" s="13" t="s">
        <v>15</v>
      </c>
      <c r="G17" s="14">
        <v>586</v>
      </c>
      <c r="H17" s="15">
        <v>121729</v>
      </c>
      <c r="I17" s="16"/>
      <c r="J17" s="16">
        <f t="shared" ref="J17:J20" si="8">G17*H17</f>
        <v>71333194</v>
      </c>
      <c r="K17" s="17">
        <f ca="1">IFERROR(__xludf.DUMMYFUNCTION("iferror(IF($D17=""한국"",GOOGLEFINANCE($E17),""""),)"),127675)</f>
        <v>127675</v>
      </c>
      <c r="L17" s="18">
        <f t="shared" ref="L17:L20" ca="1" si="9">$G17*K17</f>
        <v>74817550</v>
      </c>
      <c r="M17" s="18">
        <f t="shared" ref="M17:M20" ca="1" si="10">L17-$J17</f>
        <v>3484356</v>
      </c>
      <c r="N17" s="19">
        <f t="shared" ref="N17:N20" ca="1" si="11">(L17-$J17)/$J17</f>
        <v>4.8846207559414767E-2</v>
      </c>
      <c r="O17" s="26"/>
    </row>
    <row r="18" spans="2:15" ht="17.25" customHeight="1">
      <c r="B18" s="163"/>
      <c r="C18" s="163"/>
      <c r="D18" s="11" t="s">
        <v>13</v>
      </c>
      <c r="E18" s="12" t="s">
        <v>26</v>
      </c>
      <c r="F18" s="42" t="s">
        <v>27</v>
      </c>
      <c r="G18" s="14">
        <v>8</v>
      </c>
      <c r="H18" s="15">
        <v>12976</v>
      </c>
      <c r="I18" s="16"/>
      <c r="J18" s="16">
        <f t="shared" si="8"/>
        <v>103808</v>
      </c>
      <c r="K18" s="17">
        <f ca="1">IFERROR(__xludf.DUMMYFUNCTION("INDEX(IMPORTXML(""https://finance.naver.com/item/main.naver?code=0177R0"",""//p[@class='no_today']/em/span""),1)"),15610)</f>
        <v>15610</v>
      </c>
      <c r="L18" s="18">
        <f t="shared" ca="1" si="9"/>
        <v>124880</v>
      </c>
      <c r="M18" s="18">
        <f t="shared" ca="1" si="10"/>
        <v>21072</v>
      </c>
      <c r="N18" s="43">
        <f t="shared" ca="1" si="11"/>
        <v>0.2029901356350185</v>
      </c>
      <c r="O18" s="26"/>
    </row>
    <row r="19" spans="2:15" ht="17.25" customHeight="1">
      <c r="B19" s="163"/>
      <c r="C19" s="163"/>
      <c r="D19" s="11" t="s">
        <v>13</v>
      </c>
      <c r="E19" s="12" t="s">
        <v>20</v>
      </c>
      <c r="F19" s="24" t="s">
        <v>21</v>
      </c>
      <c r="G19" s="14">
        <v>3</v>
      </c>
      <c r="H19" s="15">
        <v>10827</v>
      </c>
      <c r="I19" s="16"/>
      <c r="J19" s="16">
        <f t="shared" si="8"/>
        <v>32481</v>
      </c>
      <c r="K19" s="17">
        <f ca="1">IFERROR(__xludf.DUMMYFUNCTION("iferror(IF($D19=""한국"",GOOGLEFINANCE($E19),""""),)"),15405)</f>
        <v>15405</v>
      </c>
      <c r="L19" s="18">
        <f t="shared" ca="1" si="9"/>
        <v>46215</v>
      </c>
      <c r="M19" s="18">
        <f t="shared" ca="1" si="10"/>
        <v>13734</v>
      </c>
      <c r="N19" s="25">
        <f t="shared" ca="1" si="11"/>
        <v>0.42283180936547521</v>
      </c>
      <c r="O19" s="20"/>
    </row>
    <row r="20" spans="2:15" ht="17.25" customHeight="1">
      <c r="B20" s="163"/>
      <c r="C20" s="163"/>
      <c r="D20" s="11" t="s">
        <v>13</v>
      </c>
      <c r="E20" s="12" t="s">
        <v>16</v>
      </c>
      <c r="F20" s="21" t="s">
        <v>17</v>
      </c>
      <c r="G20" s="14">
        <v>1</v>
      </c>
      <c r="H20" s="15">
        <v>11005</v>
      </c>
      <c r="I20" s="16"/>
      <c r="J20" s="16">
        <f t="shared" si="8"/>
        <v>11005</v>
      </c>
      <c r="K20" s="17">
        <f ca="1">IFERROR(__xludf.DUMMYFUNCTION("INDEX(IMPORTXML(""https://finance.naver.com/item/main.naver?code=0162Z0"",""//p[@class='no_today']/em/span""),1)"),15205)</f>
        <v>15205</v>
      </c>
      <c r="L20" s="18">
        <f t="shared" ca="1" si="9"/>
        <v>15205</v>
      </c>
      <c r="M20" s="18">
        <f t="shared" ca="1" si="10"/>
        <v>4200</v>
      </c>
      <c r="N20" s="43">
        <f t="shared" ca="1" si="11"/>
        <v>0.38164470695138575</v>
      </c>
      <c r="O20" s="26"/>
    </row>
    <row r="21" spans="2:15" ht="17.25" hidden="1" customHeight="1">
      <c r="B21" s="163"/>
      <c r="C21" s="163"/>
      <c r="D21" s="11"/>
      <c r="E21" s="12"/>
      <c r="F21" s="24"/>
      <c r="G21" s="14"/>
      <c r="H21" s="15"/>
      <c r="I21" s="16"/>
      <c r="J21" s="16"/>
      <c r="K21" s="17"/>
      <c r="L21" s="18"/>
      <c r="M21" s="18"/>
      <c r="N21" s="25"/>
      <c r="O21" s="26"/>
    </row>
    <row r="22" spans="2:15" ht="17.25" hidden="1" customHeight="1">
      <c r="B22" s="163"/>
      <c r="C22" s="163"/>
      <c r="D22" s="11"/>
      <c r="E22" s="12"/>
      <c r="F22" s="24"/>
      <c r="G22" s="14"/>
      <c r="H22" s="15"/>
      <c r="I22" s="16"/>
      <c r="J22" s="16"/>
      <c r="K22" s="17"/>
      <c r="L22" s="18"/>
      <c r="M22" s="18"/>
      <c r="N22" s="25"/>
      <c r="O22" s="26"/>
    </row>
    <row r="23" spans="2:15" ht="17.25" hidden="1" customHeight="1">
      <c r="B23" s="163"/>
      <c r="C23" s="163"/>
      <c r="D23" s="11"/>
      <c r="E23" s="12"/>
      <c r="F23" s="24"/>
      <c r="G23" s="14"/>
      <c r="H23" s="15"/>
      <c r="I23" s="16"/>
      <c r="J23" s="16"/>
      <c r="K23" s="17"/>
      <c r="L23" s="18"/>
      <c r="M23" s="18"/>
      <c r="N23" s="25"/>
      <c r="O23" s="26"/>
    </row>
    <row r="24" spans="2:15" ht="17.25" hidden="1" customHeight="1">
      <c r="B24" s="163"/>
      <c r="C24" s="163"/>
      <c r="D24" s="11"/>
      <c r="E24" s="12"/>
      <c r="F24" s="24"/>
      <c r="G24" s="14"/>
      <c r="H24" s="15"/>
      <c r="I24" s="16"/>
      <c r="J24" s="16"/>
      <c r="K24" s="17"/>
      <c r="L24" s="18"/>
      <c r="M24" s="18"/>
      <c r="N24" s="25"/>
      <c r="O24" s="26"/>
    </row>
    <row r="25" spans="2:15" ht="17.25" hidden="1" customHeight="1">
      <c r="B25" s="164"/>
      <c r="C25" s="164"/>
      <c r="O25" s="23"/>
    </row>
    <row r="26" spans="2:15" ht="17.25" customHeight="1">
      <c r="B26" s="44" t="s">
        <v>24</v>
      </c>
      <c r="C26" s="45"/>
      <c r="D26" s="45"/>
      <c r="E26" s="45"/>
      <c r="F26" s="46"/>
      <c r="G26" s="47"/>
      <c r="H26" s="47"/>
      <c r="I26" s="48"/>
      <c r="J26" s="48">
        <f>SUM(J17:J24)</f>
        <v>71480488</v>
      </c>
      <c r="K26" s="31"/>
      <c r="L26" s="39">
        <f ca="1">SUM(L17:L24)</f>
        <v>75003850</v>
      </c>
      <c r="M26" s="40">
        <f ca="1">L26-C17</f>
        <v>58612654</v>
      </c>
      <c r="N26" s="41">
        <f ca="1">(L26-$C17)/$C17</f>
        <v>3.5758619444243118</v>
      </c>
      <c r="O26" s="20"/>
    </row>
    <row r="27" spans="2:15" ht="17.25" customHeight="1">
      <c r="B27" s="162" t="s">
        <v>28</v>
      </c>
      <c r="C27" s="165">
        <f ca="1">IFERROR(__xludf.DUMMYFUNCTION("IMPORTRANGE(""18m7_5Vy-SocSuBMtXmritoiWfMy_VSJ0LqQCfdmFyYU/edit?gid=852545723"",""'1.자산투자(원금)'!q8"")"),14550000)</f>
        <v>14550000</v>
      </c>
      <c r="D27" s="28" t="s">
        <v>13</v>
      </c>
      <c r="E27" s="12" t="s">
        <v>14</v>
      </c>
      <c r="F27" s="13" t="s">
        <v>15</v>
      </c>
      <c r="G27" s="14">
        <v>302</v>
      </c>
      <c r="H27" s="15">
        <v>121080</v>
      </c>
      <c r="I27" s="29"/>
      <c r="J27" s="29">
        <f t="shared" ref="J27:J30" si="12">G27*H27</f>
        <v>36566160</v>
      </c>
      <c r="K27" s="30">
        <f ca="1">IFERROR(__xludf.DUMMYFUNCTION("iferror(IF($D27=""한국"",GOOGLEFINANCE($E27),""""),)"),127675)</f>
        <v>127675</v>
      </c>
      <c r="L27" s="31">
        <f t="shared" ref="L27:L30" ca="1" si="13">$G27*K27</f>
        <v>38557850</v>
      </c>
      <c r="M27" s="31">
        <f t="shared" ref="M27:M30" ca="1" si="14">L27-$J27</f>
        <v>1991690</v>
      </c>
      <c r="N27" s="19">
        <f t="shared" ref="N27:N30" ca="1" si="15">(L27-$J27)/$J27</f>
        <v>5.4468120251073671E-2</v>
      </c>
      <c r="O27" s="26"/>
    </row>
    <row r="28" spans="2:15" ht="17.25" customHeight="1">
      <c r="B28" s="163"/>
      <c r="C28" s="163"/>
      <c r="D28" s="11" t="s">
        <v>13</v>
      </c>
      <c r="E28" s="12" t="s">
        <v>26</v>
      </c>
      <c r="F28" s="49" t="s">
        <v>27</v>
      </c>
      <c r="G28" s="14">
        <v>15</v>
      </c>
      <c r="H28" s="15">
        <v>12950</v>
      </c>
      <c r="I28" s="16"/>
      <c r="J28" s="16">
        <f t="shared" si="12"/>
        <v>194250</v>
      </c>
      <c r="K28" s="17">
        <f ca="1">IFERROR(__xludf.DUMMYFUNCTION("INDEX(IMPORTXML(""https://finance.naver.com/item/main.naver?code=0177R0"",""//p[@class='no_today']/em/span""),1)"),15610)</f>
        <v>15610</v>
      </c>
      <c r="L28" s="18">
        <f t="shared" ca="1" si="13"/>
        <v>234150</v>
      </c>
      <c r="M28" s="18">
        <f t="shared" ca="1" si="14"/>
        <v>39900</v>
      </c>
      <c r="N28" s="43">
        <f t="shared" ca="1" si="15"/>
        <v>0.20540540540540542</v>
      </c>
      <c r="O28" s="26"/>
    </row>
    <row r="29" spans="2:15" ht="16.5" customHeight="1">
      <c r="B29" s="163"/>
      <c r="C29" s="163"/>
      <c r="D29" s="28" t="s">
        <v>13</v>
      </c>
      <c r="E29" s="12" t="s">
        <v>20</v>
      </c>
      <c r="F29" s="24" t="s">
        <v>21</v>
      </c>
      <c r="G29" s="14">
        <v>1</v>
      </c>
      <c r="H29" s="15">
        <v>10976</v>
      </c>
      <c r="I29" s="16"/>
      <c r="J29" s="16">
        <f t="shared" si="12"/>
        <v>10976</v>
      </c>
      <c r="K29" s="17">
        <f ca="1">IFERROR(__xludf.DUMMYFUNCTION("iferror(IF($D29=""한국"",GOOGLEFINANCE($E29),""""),)"),15405)</f>
        <v>15405</v>
      </c>
      <c r="L29" s="18">
        <f t="shared" ca="1" si="13"/>
        <v>15405</v>
      </c>
      <c r="M29" s="18">
        <f t="shared" ca="1" si="14"/>
        <v>4429</v>
      </c>
      <c r="N29" s="25">
        <f t="shared" ca="1" si="15"/>
        <v>0.40351676384839652</v>
      </c>
      <c r="O29" s="26"/>
    </row>
    <row r="30" spans="2:15" ht="17.25" customHeight="1">
      <c r="B30" s="163"/>
      <c r="C30" s="163"/>
      <c r="D30" s="28" t="s">
        <v>13</v>
      </c>
      <c r="E30" s="12" t="s">
        <v>29</v>
      </c>
      <c r="F30" s="13" t="s">
        <v>30</v>
      </c>
      <c r="G30" s="14">
        <v>1</v>
      </c>
      <c r="H30" s="15">
        <v>11266</v>
      </c>
      <c r="I30" s="16"/>
      <c r="J30" s="16">
        <f t="shared" si="12"/>
        <v>11266</v>
      </c>
      <c r="K30" s="17">
        <f ca="1">IFERROR(__xludf.DUMMYFUNCTION("iferror(IF($D30=""한국"",GOOGLEFINANCE($E30),""""),)"),17805)</f>
        <v>17805</v>
      </c>
      <c r="L30" s="18">
        <f t="shared" ca="1" si="13"/>
        <v>17805</v>
      </c>
      <c r="M30" s="18">
        <f t="shared" ca="1" si="14"/>
        <v>6539</v>
      </c>
      <c r="N30" s="25">
        <f t="shared" ca="1" si="15"/>
        <v>0.5804189597017575</v>
      </c>
      <c r="O30" s="20"/>
    </row>
    <row r="31" spans="2:15" ht="17.25" hidden="1" customHeight="1">
      <c r="B31" s="163"/>
      <c r="C31" s="163"/>
      <c r="O31" s="27"/>
    </row>
    <row r="32" spans="2:15" ht="17.25" hidden="1" customHeight="1">
      <c r="B32" s="163"/>
      <c r="C32" s="163"/>
      <c r="O32" s="26"/>
    </row>
    <row r="33" spans="1:15" ht="17.25" hidden="1" customHeight="1">
      <c r="B33" s="163"/>
      <c r="C33" s="163"/>
      <c r="D33" s="11"/>
      <c r="E33" s="12"/>
      <c r="F33" s="50"/>
      <c r="G33" s="14"/>
      <c r="H33" s="51"/>
      <c r="I33" s="16"/>
      <c r="J33" s="16"/>
      <c r="K33" s="17"/>
      <c r="L33" s="18"/>
      <c r="M33" s="18"/>
      <c r="N33" s="19"/>
      <c r="O33" s="27"/>
    </row>
    <row r="34" spans="1:15" ht="17.25" hidden="1" customHeight="1">
      <c r="B34" s="164"/>
      <c r="C34" s="164"/>
      <c r="D34" s="28"/>
      <c r="E34" s="12"/>
      <c r="F34" s="21"/>
      <c r="G34" s="14"/>
      <c r="H34" s="15"/>
      <c r="I34" s="29"/>
      <c r="J34" s="29"/>
      <c r="K34" s="30"/>
      <c r="L34" s="31"/>
      <c r="M34" s="31"/>
      <c r="N34" s="19"/>
      <c r="O34" s="20"/>
    </row>
    <row r="35" spans="1:15" ht="17.25" customHeight="1">
      <c r="B35" s="44" t="s">
        <v>24</v>
      </c>
      <c r="C35" s="45"/>
      <c r="D35" s="45"/>
      <c r="E35" s="45"/>
      <c r="F35" s="46"/>
      <c r="G35" s="47"/>
      <c r="H35" s="47"/>
      <c r="I35" s="48"/>
      <c r="J35" s="48">
        <f>SUM(J27:J34)</f>
        <v>36782652</v>
      </c>
      <c r="K35" s="31"/>
      <c r="L35" s="39">
        <f ca="1">SUM(L27:L34)</f>
        <v>38825210</v>
      </c>
      <c r="M35" s="40">
        <f ca="1">L35-C27</f>
        <v>24275210</v>
      </c>
      <c r="N35" s="41">
        <f ca="1">(L35-$C27)/$C27</f>
        <v>1.6683993127147767</v>
      </c>
      <c r="O35" s="20"/>
    </row>
    <row r="36" spans="1:15" ht="17.25" hidden="1" customHeight="1">
      <c r="B36" s="162" t="s">
        <v>31</v>
      </c>
      <c r="C36" s="165">
        <f ca="1">IFERROR(__xludf.DUMMYFUNCTION("IMPORTRANGE(""18m7_5Vy-SocSuBMtXmritoiWfMy_VSJ0LqQCfdmFyYU/edit?gid=852545723"",""'1.자산투자(원금)'!q9"")"),51504545)</f>
        <v>51504545</v>
      </c>
      <c r="D36" s="11" t="s">
        <v>13</v>
      </c>
      <c r="E36" s="12" t="s">
        <v>32</v>
      </c>
      <c r="F36" s="21" t="s">
        <v>33</v>
      </c>
      <c r="G36" s="14">
        <v>0</v>
      </c>
      <c r="H36" s="15">
        <v>26431</v>
      </c>
      <c r="I36" s="16"/>
      <c r="J36" s="16">
        <f t="shared" ref="J36:J38" si="16">G36*H36</f>
        <v>0</v>
      </c>
      <c r="K36" s="17">
        <f ca="1">IFERROR(__xludf.DUMMYFUNCTION("iferror(IF($D36=""한국"",GOOGLEFINANCE($E36),""""),)"),63025)</f>
        <v>63025</v>
      </c>
      <c r="L36" s="18">
        <f t="shared" ref="L36:L38" ca="1" si="17">$G36*K36</f>
        <v>0</v>
      </c>
      <c r="M36" s="18">
        <f t="shared" ref="M36:M38" ca="1" si="18">L36-$J36</f>
        <v>0</v>
      </c>
      <c r="N36" s="19" t="e">
        <f t="shared" ref="N36:N38" ca="1" si="19">(L36-$J36)/$J36</f>
        <v>#DIV/0!</v>
      </c>
      <c r="O36" s="20"/>
    </row>
    <row r="37" spans="1:15" ht="17.25" customHeight="1">
      <c r="B37" s="163"/>
      <c r="C37" s="163"/>
      <c r="D37" s="11" t="s">
        <v>13</v>
      </c>
      <c r="E37" s="12" t="s">
        <v>14</v>
      </c>
      <c r="F37" s="13" t="s">
        <v>15</v>
      </c>
      <c r="G37" s="14">
        <v>717</v>
      </c>
      <c r="H37" s="15">
        <v>111596</v>
      </c>
      <c r="I37" s="16"/>
      <c r="J37" s="16">
        <f t="shared" si="16"/>
        <v>80014332</v>
      </c>
      <c r="K37" s="17">
        <f ca="1">IFERROR(__xludf.DUMMYFUNCTION("iferror(IF($D37=""한국"",GOOGLEFINANCE($E37),""""),)"),127675)</f>
        <v>127675</v>
      </c>
      <c r="L37" s="18">
        <f t="shared" ca="1" si="17"/>
        <v>91542975</v>
      </c>
      <c r="M37" s="18">
        <f t="shared" ca="1" si="18"/>
        <v>11528643</v>
      </c>
      <c r="N37" s="19">
        <f t="shared" ca="1" si="19"/>
        <v>0.14408222516936092</v>
      </c>
      <c r="O37" s="20"/>
    </row>
    <row r="38" spans="1:15" ht="17.25" customHeight="1">
      <c r="B38" s="163"/>
      <c r="C38" s="163"/>
      <c r="D38" s="11" t="s">
        <v>13</v>
      </c>
      <c r="E38" s="12" t="s">
        <v>16</v>
      </c>
      <c r="F38" s="21" t="s">
        <v>17</v>
      </c>
      <c r="G38" s="14">
        <v>2547</v>
      </c>
      <c r="H38" s="51">
        <v>11534</v>
      </c>
      <c r="I38" s="16"/>
      <c r="J38" s="16">
        <f t="shared" si="16"/>
        <v>29377098</v>
      </c>
      <c r="K38" s="17">
        <f ca="1">IFERROR(__xludf.DUMMYFUNCTION("INDEX(IMPORTXML(""https://finance.naver.com/item/main.naver?code=0162Z0"",""//p[@class='no_today']/em/span""),1)"),15205)</f>
        <v>15205</v>
      </c>
      <c r="L38" s="18">
        <f t="shared" ca="1" si="17"/>
        <v>38727135</v>
      </c>
      <c r="M38" s="18">
        <f t="shared" ca="1" si="18"/>
        <v>9350037</v>
      </c>
      <c r="N38" s="19">
        <f t="shared" ca="1" si="19"/>
        <v>0.31827640020808046</v>
      </c>
      <c r="O38" s="20"/>
    </row>
    <row r="39" spans="1:15" ht="17.25" hidden="1" customHeight="1">
      <c r="B39" s="163"/>
      <c r="C39" s="163"/>
      <c r="D39" s="11"/>
      <c r="E39" s="12"/>
      <c r="F39" s="24"/>
      <c r="G39" s="14"/>
      <c r="H39" s="51"/>
      <c r="I39" s="16"/>
      <c r="J39" s="16"/>
      <c r="K39" s="17"/>
      <c r="L39" s="18"/>
      <c r="M39" s="18"/>
      <c r="N39" s="25"/>
      <c r="O39" s="26"/>
    </row>
    <row r="40" spans="1:15" ht="17.25" hidden="1" customHeight="1">
      <c r="B40" s="163"/>
      <c r="C40" s="163"/>
      <c r="D40" s="11"/>
      <c r="E40" s="12"/>
      <c r="F40" s="24"/>
      <c r="G40" s="14"/>
      <c r="H40" s="51"/>
      <c r="I40" s="16"/>
      <c r="J40" s="16"/>
      <c r="K40" s="17"/>
      <c r="L40" s="18"/>
      <c r="M40" s="18"/>
      <c r="N40" s="25"/>
      <c r="O40" s="26"/>
    </row>
    <row r="41" spans="1:15" ht="17.25" hidden="1" customHeight="1">
      <c r="B41" s="164"/>
      <c r="C41" s="164"/>
      <c r="O41" s="23"/>
    </row>
    <row r="42" spans="1:15" ht="17.25" customHeight="1">
      <c r="A42" s="52"/>
      <c r="B42" s="44" t="s">
        <v>24</v>
      </c>
      <c r="C42" s="45"/>
      <c r="D42" s="45"/>
      <c r="E42" s="45"/>
      <c r="F42" s="46"/>
      <c r="G42" s="53"/>
      <c r="H42" s="53"/>
      <c r="I42" s="48"/>
      <c r="J42" s="48">
        <f>SUM(J36:J40)</f>
        <v>109391430</v>
      </c>
      <c r="K42" s="54"/>
      <c r="L42" s="39">
        <f ca="1">SUM(L36:L40)</f>
        <v>130270110</v>
      </c>
      <c r="M42" s="40">
        <f ca="1">L42-C36</f>
        <v>78765565</v>
      </c>
      <c r="N42" s="41">
        <f ca="1">(L42-$C36)/$C36</f>
        <v>1.5292934827402125</v>
      </c>
      <c r="O42" s="20"/>
    </row>
    <row r="43" spans="1:15" ht="17.25" hidden="1" customHeight="1">
      <c r="A43" s="55"/>
      <c r="B43" s="162" t="s">
        <v>34</v>
      </c>
      <c r="C43" s="166">
        <f ca="1">IFERROR(__xludf.DUMMYFUNCTION("IMPORTRANGE(""18m7_5Vy-SocSuBMtXmritoiWfMy_VSJ0LqQCfdmFyYU/edit?gid=852545723"",""'1.자산투자(원금)'!q13"")"),2250000)</f>
        <v>2250000</v>
      </c>
      <c r="D43" s="11" t="s">
        <v>13</v>
      </c>
      <c r="E43" s="12" t="s">
        <v>32</v>
      </c>
      <c r="F43" s="21" t="s">
        <v>33</v>
      </c>
      <c r="G43" s="14">
        <v>0</v>
      </c>
      <c r="H43" s="15">
        <v>33867</v>
      </c>
      <c r="I43" s="29"/>
      <c r="J43" s="29">
        <f t="shared" ref="J43:J47" si="20">G43*H43</f>
        <v>0</v>
      </c>
      <c r="K43" s="30">
        <f ca="1">IFERROR(__xludf.DUMMYFUNCTION("iferror(IF($D43=""한국"",GOOGLEFINANCE($E43),""""),)"),63025)</f>
        <v>63025</v>
      </c>
      <c r="L43" s="31">
        <f t="shared" ref="L43:L47" ca="1" si="21">$G43*K43</f>
        <v>0</v>
      </c>
      <c r="M43" s="31">
        <f t="shared" ref="M43:M47" ca="1" si="22">L43-$J43</f>
        <v>0</v>
      </c>
      <c r="N43" s="19" t="e">
        <f t="shared" ref="N43:N47" ca="1" si="23">(L43-$J43)/$J43</f>
        <v>#DIV/0!</v>
      </c>
      <c r="O43" s="20"/>
    </row>
    <row r="44" spans="1:15" ht="17.25" customHeight="1">
      <c r="A44" s="55"/>
      <c r="B44" s="163"/>
      <c r="C44" s="163"/>
      <c r="D44" s="11" t="s">
        <v>13</v>
      </c>
      <c r="E44" s="12" t="s">
        <v>35</v>
      </c>
      <c r="F44" s="21" t="s">
        <v>36</v>
      </c>
      <c r="G44" s="14">
        <v>51</v>
      </c>
      <c r="H44" s="15">
        <v>31409</v>
      </c>
      <c r="I44" s="29"/>
      <c r="J44" s="29">
        <f t="shared" si="20"/>
        <v>1601859</v>
      </c>
      <c r="K44" s="30">
        <f ca="1">IFERROR(__xludf.DUMMYFUNCTION("iferror(IF($D44=""한국"",GOOGLEFINANCE($E44),""""),)"),52085)</f>
        <v>52085</v>
      </c>
      <c r="L44" s="31">
        <f t="shared" ca="1" si="21"/>
        <v>2656335</v>
      </c>
      <c r="M44" s="31">
        <f t="shared" ca="1" si="22"/>
        <v>1054476</v>
      </c>
      <c r="N44" s="19">
        <f t="shared" ca="1" si="23"/>
        <v>0.65828265783692574</v>
      </c>
      <c r="O44" s="20"/>
    </row>
    <row r="45" spans="1:15" ht="17.25" customHeight="1">
      <c r="A45" s="55"/>
      <c r="B45" s="163"/>
      <c r="C45" s="163"/>
      <c r="D45" s="11" t="s">
        <v>13</v>
      </c>
      <c r="E45" s="12" t="s">
        <v>16</v>
      </c>
      <c r="F45" s="21" t="s">
        <v>17</v>
      </c>
      <c r="G45" s="14">
        <v>72</v>
      </c>
      <c r="H45" s="15">
        <v>11645</v>
      </c>
      <c r="I45" s="29"/>
      <c r="J45" s="29">
        <f t="shared" si="20"/>
        <v>838440</v>
      </c>
      <c r="K45" s="30">
        <f ca="1">IFERROR(__xludf.DUMMYFUNCTION("INDEX(IMPORTXML(""https://finance.naver.com/item/main.naver?code=0162Z0"",""//p[@class='no_today']/em/span""),1)"),15205)</f>
        <v>15205</v>
      </c>
      <c r="L45" s="31">
        <f t="shared" ca="1" si="21"/>
        <v>1094760</v>
      </c>
      <c r="M45" s="31">
        <f t="shared" ca="1" si="22"/>
        <v>256320</v>
      </c>
      <c r="N45" s="32">
        <f t="shared" ca="1" si="23"/>
        <v>0.30571060541004724</v>
      </c>
      <c r="O45" s="26"/>
    </row>
    <row r="46" spans="1:15" ht="17.25" customHeight="1">
      <c r="A46" s="55"/>
      <c r="B46" s="163"/>
      <c r="C46" s="163"/>
      <c r="D46" s="11" t="s">
        <v>13</v>
      </c>
      <c r="E46" s="12" t="s">
        <v>37</v>
      </c>
      <c r="F46" s="24" t="s">
        <v>38</v>
      </c>
      <c r="G46" s="14">
        <v>1</v>
      </c>
      <c r="H46" s="15">
        <v>29680</v>
      </c>
      <c r="I46" s="29"/>
      <c r="J46" s="29">
        <f t="shared" si="20"/>
        <v>29680</v>
      </c>
      <c r="K46" s="30">
        <f ca="1">IFERROR(__xludf.DUMMYFUNCTION("iferror(IF($D46=""한국"",GOOGLEFINANCE($E46),""""),)"),30175)</f>
        <v>30175</v>
      </c>
      <c r="L46" s="31">
        <f t="shared" ca="1" si="21"/>
        <v>30175</v>
      </c>
      <c r="M46" s="31">
        <f t="shared" ca="1" si="22"/>
        <v>495</v>
      </c>
      <c r="N46" s="32">
        <f t="shared" ca="1" si="23"/>
        <v>1.6677897574123988E-2</v>
      </c>
      <c r="O46" s="26"/>
    </row>
    <row r="47" spans="1:15" ht="17.25" customHeight="1">
      <c r="A47" s="55"/>
      <c r="B47" s="163"/>
      <c r="C47" s="163"/>
      <c r="D47" s="11" t="s">
        <v>13</v>
      </c>
      <c r="E47" s="12" t="s">
        <v>39</v>
      </c>
      <c r="F47" s="24" t="s">
        <v>40</v>
      </c>
      <c r="G47" s="14">
        <v>1</v>
      </c>
      <c r="H47" s="15">
        <v>14120</v>
      </c>
      <c r="I47" s="29"/>
      <c r="J47" s="29">
        <f t="shared" si="20"/>
        <v>14120</v>
      </c>
      <c r="K47" s="30">
        <f ca="1">IFERROR(__xludf.DUMMYFUNCTION("iferror(IF($D47=""한국"",GOOGLEFINANCE($E47),""""),)"),15760)</f>
        <v>15760</v>
      </c>
      <c r="L47" s="31">
        <f t="shared" ca="1" si="21"/>
        <v>15760</v>
      </c>
      <c r="M47" s="31">
        <f t="shared" ca="1" si="22"/>
        <v>1640</v>
      </c>
      <c r="N47" s="32">
        <f t="shared" ca="1" si="23"/>
        <v>0.11614730878186968</v>
      </c>
      <c r="O47" s="26"/>
    </row>
    <row r="48" spans="1:15" ht="17.25" hidden="1" customHeight="1">
      <c r="A48" s="55"/>
      <c r="B48" s="163"/>
      <c r="C48" s="163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7"/>
    </row>
    <row r="49" spans="1:15" ht="17.25" hidden="1" customHeight="1">
      <c r="A49" s="55"/>
      <c r="B49" s="163"/>
      <c r="C49" s="163"/>
      <c r="D49" s="58"/>
      <c r="E49" s="59"/>
      <c r="F49" s="58"/>
      <c r="G49" s="60"/>
      <c r="H49" s="60"/>
      <c r="I49" s="60"/>
      <c r="J49" s="60"/>
      <c r="K49" s="61"/>
      <c r="L49" s="60"/>
      <c r="M49" s="60"/>
      <c r="N49" s="62"/>
      <c r="O49" s="57"/>
    </row>
    <row r="50" spans="1:15" ht="17.25" hidden="1" customHeight="1">
      <c r="A50" s="55"/>
      <c r="B50" s="163"/>
      <c r="C50" s="163"/>
      <c r="D50" s="58"/>
      <c r="E50" s="59"/>
      <c r="F50" s="58"/>
      <c r="G50" s="60"/>
      <c r="H50" s="60"/>
      <c r="I50" s="60"/>
      <c r="J50" s="60"/>
      <c r="K50" s="61"/>
      <c r="L50" s="60"/>
      <c r="M50" s="60"/>
      <c r="N50" s="62"/>
      <c r="O50" s="57"/>
    </row>
    <row r="51" spans="1:15" ht="17.25" hidden="1" customHeight="1">
      <c r="A51" s="55"/>
      <c r="B51" s="163"/>
      <c r="C51" s="163"/>
      <c r="D51" s="58"/>
      <c r="E51" s="59"/>
      <c r="F51" s="58"/>
      <c r="G51" s="60"/>
      <c r="H51" s="60"/>
      <c r="I51" s="60"/>
      <c r="J51" s="60"/>
      <c r="K51" s="61"/>
      <c r="L51" s="60"/>
      <c r="M51" s="60"/>
      <c r="N51" s="62"/>
      <c r="O51" s="57"/>
    </row>
    <row r="52" spans="1:15" ht="17.25" hidden="1" customHeight="1">
      <c r="A52" s="55"/>
      <c r="B52" s="164"/>
      <c r="C52" s="164"/>
      <c r="D52" s="58"/>
      <c r="E52" s="58"/>
      <c r="F52" s="58"/>
      <c r="G52" s="60"/>
      <c r="H52" s="60"/>
      <c r="I52" s="60"/>
      <c r="J52" s="60"/>
      <c r="K52" s="60"/>
      <c r="L52" s="60"/>
      <c r="M52" s="60"/>
      <c r="N52" s="62"/>
      <c r="O52" s="57"/>
    </row>
    <row r="53" spans="1:15" ht="17.25" customHeight="1">
      <c r="A53" s="55"/>
      <c r="B53" s="63" t="s">
        <v>24</v>
      </c>
      <c r="C53" s="64"/>
      <c r="D53" s="64"/>
      <c r="E53" s="64"/>
      <c r="F53" s="65"/>
      <c r="G53" s="66"/>
      <c r="H53" s="66"/>
      <c r="I53" s="48"/>
      <c r="J53" s="48">
        <f>SUM(J43:J52)</f>
        <v>2484099</v>
      </c>
      <c r="K53" s="66"/>
      <c r="L53" s="39">
        <f ca="1">SUM(L43:L52)</f>
        <v>3797030</v>
      </c>
      <c r="M53" s="40">
        <f ca="1">L53-C43</f>
        <v>1547030</v>
      </c>
      <c r="N53" s="41">
        <f ca="1">(L53-C43)/C43</f>
        <v>0.6875688888888889</v>
      </c>
      <c r="O53" s="20"/>
    </row>
    <row r="54" spans="1:15" ht="17.25" customHeight="1">
      <c r="A54" s="67"/>
      <c r="B54" s="68" t="s">
        <v>41</v>
      </c>
      <c r="C54" s="69">
        <f ca="1">SUM(C5:C47)</f>
        <v>198419845</v>
      </c>
      <c r="D54" s="70"/>
      <c r="E54" s="70"/>
      <c r="F54" s="70"/>
      <c r="G54" s="70"/>
      <c r="H54" s="71"/>
      <c r="I54" s="72"/>
      <c r="J54" s="72">
        <f>J16+J26+J35+J42+J53</f>
        <v>502095880</v>
      </c>
      <c r="K54" s="73"/>
      <c r="L54" s="72">
        <f ca="1">L16+L26+L35+L42+L53</f>
        <v>583563370</v>
      </c>
      <c r="M54" s="72">
        <f ca="1">L54-C54</f>
        <v>385143525</v>
      </c>
      <c r="N54" s="74">
        <f ca="1">(L54-C54)/C54</f>
        <v>1.9410534515839382</v>
      </c>
      <c r="O54" s="20"/>
    </row>
    <row r="55" spans="1:15" ht="17.25" customHeight="1">
      <c r="B55" s="162" t="s">
        <v>42</v>
      </c>
      <c r="C55" s="165">
        <f ca="1">IFERROR(__xludf.DUMMYFUNCTION("IMPORTRANGE(""18m7_5Vy-SocSuBMtXmritoiWfMy_VSJ0LqQCfdmFyYU/edit?gid=852545723"",""'1.자산투자(원금)'!q14"")"),16441657)</f>
        <v>16441657</v>
      </c>
      <c r="D55" s="28" t="s">
        <v>13</v>
      </c>
      <c r="E55" s="12" t="s">
        <v>35</v>
      </c>
      <c r="F55" s="75" t="s">
        <v>43</v>
      </c>
      <c r="G55" s="14">
        <v>569</v>
      </c>
      <c r="H55" s="15">
        <v>30933</v>
      </c>
      <c r="I55" s="29"/>
      <c r="J55" s="29">
        <f t="shared" ref="J55:J60" si="24">G55*H55</f>
        <v>17600877</v>
      </c>
      <c r="K55" s="30">
        <f ca="1">IFERROR(__xludf.DUMMYFUNCTION("iferror(IF($D55=""한국"",GOOGLEFINANCE($E55),""""),)"),52085)</f>
        <v>52085</v>
      </c>
      <c r="L55" s="31">
        <f t="shared" ref="L55:L60" ca="1" si="25">$G55*K55</f>
        <v>29636365</v>
      </c>
      <c r="M55" s="31">
        <f t="shared" ref="M55:M60" ca="1" si="26">L55-$J55</f>
        <v>12035488</v>
      </c>
      <c r="N55" s="19">
        <f t="shared" ref="N55:N60" ca="1" si="27">(L55-$J55)/$J55</f>
        <v>0.68380047198784466</v>
      </c>
      <c r="O55" s="26"/>
    </row>
    <row r="56" spans="1:15" ht="17.25" customHeight="1">
      <c r="B56" s="163"/>
      <c r="C56" s="163"/>
      <c r="D56" s="11" t="s">
        <v>13</v>
      </c>
      <c r="E56" s="12" t="s">
        <v>14</v>
      </c>
      <c r="F56" s="13" t="s">
        <v>15</v>
      </c>
      <c r="G56" s="14">
        <v>405</v>
      </c>
      <c r="H56" s="15">
        <v>124907</v>
      </c>
      <c r="I56" s="16"/>
      <c r="J56" s="16">
        <f t="shared" si="24"/>
        <v>50587335</v>
      </c>
      <c r="K56" s="17">
        <f ca="1">IFERROR(__xludf.DUMMYFUNCTION("iferror(IF($D56=""한국"",GOOGLEFINANCE($E56),""""),)"),127675)</f>
        <v>127675</v>
      </c>
      <c r="L56" s="18">
        <f t="shared" ca="1" si="25"/>
        <v>51708375</v>
      </c>
      <c r="M56" s="18">
        <f t="shared" ca="1" si="26"/>
        <v>1121040</v>
      </c>
      <c r="N56" s="19">
        <f t="shared" ca="1" si="27"/>
        <v>2.2160487402627556E-2</v>
      </c>
      <c r="O56" s="20"/>
    </row>
    <row r="57" spans="1:15" ht="17.25" hidden="1" customHeight="1">
      <c r="B57" s="163"/>
      <c r="C57" s="163"/>
      <c r="D57" s="76" t="s">
        <v>13</v>
      </c>
      <c r="E57" s="77" t="s">
        <v>44</v>
      </c>
      <c r="F57" s="78" t="s">
        <v>45</v>
      </c>
      <c r="G57" s="79"/>
      <c r="H57" s="79"/>
      <c r="I57" s="79"/>
      <c r="J57" s="79">
        <f t="shared" si="24"/>
        <v>0</v>
      </c>
      <c r="K57" s="80">
        <f ca="1">IFERROR(__xludf.DUMMYFUNCTION("iferror(IF($D57=""한국"",GOOGLEFINANCE($E57),""""),)"),52000)</f>
        <v>52000</v>
      </c>
      <c r="L57" s="81">
        <f t="shared" ca="1" si="25"/>
        <v>0</v>
      </c>
      <c r="M57" s="81">
        <f t="shared" ca="1" si="26"/>
        <v>0</v>
      </c>
      <c r="N57" s="82" t="e">
        <f t="shared" ca="1" si="27"/>
        <v>#DIV/0!</v>
      </c>
      <c r="O57" s="20"/>
    </row>
    <row r="58" spans="1:15" ht="17.25" customHeight="1">
      <c r="B58" s="163"/>
      <c r="C58" s="163"/>
      <c r="D58" s="28" t="s">
        <v>13</v>
      </c>
      <c r="E58" s="12" t="s">
        <v>16</v>
      </c>
      <c r="F58" s="50" t="s">
        <v>17</v>
      </c>
      <c r="G58" s="14">
        <v>2</v>
      </c>
      <c r="H58" s="15">
        <v>13474</v>
      </c>
      <c r="I58" s="29"/>
      <c r="J58" s="29">
        <f t="shared" si="24"/>
        <v>26948</v>
      </c>
      <c r="K58" s="30">
        <f ca="1">IFERROR(__xludf.DUMMYFUNCTION("INDEX(IMPORTXML(""https://finance.naver.com/item/main.naver?code=0162Z0"",""//p[@class='no_today']/em/span""),1)"),15205)</f>
        <v>15205</v>
      </c>
      <c r="L58" s="31">
        <f t="shared" ca="1" si="25"/>
        <v>30410</v>
      </c>
      <c r="M58" s="31">
        <f t="shared" ca="1" si="26"/>
        <v>3462</v>
      </c>
      <c r="N58" s="32">
        <f t="shared" ca="1" si="27"/>
        <v>0.12846964524268961</v>
      </c>
      <c r="O58" s="20"/>
    </row>
    <row r="59" spans="1:15" ht="17.25" customHeight="1">
      <c r="B59" s="163"/>
      <c r="C59" s="163"/>
      <c r="D59" s="28" t="s">
        <v>13</v>
      </c>
      <c r="E59" s="12" t="s">
        <v>46</v>
      </c>
      <c r="F59" s="83" t="s">
        <v>47</v>
      </c>
      <c r="G59" s="14">
        <v>2</v>
      </c>
      <c r="H59" s="15">
        <v>10332</v>
      </c>
      <c r="I59" s="29"/>
      <c r="J59" s="29">
        <f t="shared" si="24"/>
        <v>20664</v>
      </c>
      <c r="K59" s="30">
        <f ca="1">IFERROR(__xludf.DUMMYFUNCTION("iferror(IF($D59=""한국"",GOOGLEFINANCE($E59),""""),)"),13885)</f>
        <v>13885</v>
      </c>
      <c r="L59" s="31">
        <f t="shared" ca="1" si="25"/>
        <v>27770</v>
      </c>
      <c r="M59" s="31">
        <f t="shared" ca="1" si="26"/>
        <v>7106</v>
      </c>
      <c r="N59" s="32">
        <f t="shared" ca="1" si="27"/>
        <v>0.34388308168795972</v>
      </c>
      <c r="O59" s="20"/>
    </row>
    <row r="60" spans="1:15" ht="17.25" customHeight="1">
      <c r="B60" s="164"/>
      <c r="C60" s="164"/>
      <c r="D60" s="84" t="s">
        <v>13</v>
      </c>
      <c r="E60" s="85" t="s">
        <v>48</v>
      </c>
      <c r="F60" s="86" t="s">
        <v>49</v>
      </c>
      <c r="G60" s="87">
        <v>3</v>
      </c>
      <c r="H60" s="87">
        <v>27558</v>
      </c>
      <c r="I60" s="87"/>
      <c r="J60" s="87">
        <f t="shared" si="24"/>
        <v>82674</v>
      </c>
      <c r="K60" s="88">
        <f ca="1">IFERROR(__xludf.DUMMYFUNCTION("INDEX(IMPORTXML(""https://finance.naver.com/item/main.naver?code=0195R0"",""//p[@class='no_today']/em/span""),1)"),28950)</f>
        <v>28950</v>
      </c>
      <c r="L60" s="89">
        <f t="shared" ca="1" si="25"/>
        <v>86850</v>
      </c>
      <c r="M60" s="89">
        <f t="shared" ca="1" si="26"/>
        <v>4176</v>
      </c>
      <c r="N60" s="90">
        <f t="shared" ca="1" si="27"/>
        <v>5.0511648160243852E-2</v>
      </c>
      <c r="O60" s="23"/>
    </row>
    <row r="61" spans="1:15" ht="17.25" customHeight="1">
      <c r="B61" s="44" t="s">
        <v>24</v>
      </c>
      <c r="C61" s="45"/>
      <c r="D61" s="45"/>
      <c r="E61" s="45"/>
      <c r="F61" s="46"/>
      <c r="G61" s="47"/>
      <c r="H61" s="47"/>
      <c r="I61" s="48"/>
      <c r="J61" s="48">
        <f>SUM(J55:J59)</f>
        <v>68235824</v>
      </c>
      <c r="K61" s="31"/>
      <c r="L61" s="39">
        <f ca="1">SUM(L55:L59)</f>
        <v>81402920</v>
      </c>
      <c r="M61" s="40">
        <f ca="1">L61-C55</f>
        <v>64961263</v>
      </c>
      <c r="N61" s="41">
        <f ca="1">(L61-$C55)/$C55</f>
        <v>3.9510167983677071</v>
      </c>
      <c r="O61" s="20"/>
    </row>
    <row r="62" spans="1:15" ht="30" hidden="1" customHeight="1">
      <c r="B62" s="91"/>
      <c r="C62" s="92"/>
      <c r="D62" s="28"/>
      <c r="E62" s="12"/>
      <c r="F62" s="93"/>
      <c r="G62" s="14"/>
      <c r="H62" s="15"/>
      <c r="I62" s="29"/>
      <c r="J62" s="29">
        <f>G62*H62</f>
        <v>0</v>
      </c>
      <c r="K62" s="30" t="str">
        <f ca="1">IFERROR(__xludf.DUMMYFUNCTION("iferror(IF($D62=""한국"",GOOGLEFINANCE($E62),""""),)"),"")</f>
        <v/>
      </c>
      <c r="L62" s="31" t="e">
        <f ca="1">$G62*K62</f>
        <v>#VALUE!</v>
      </c>
      <c r="M62" s="31" t="e">
        <f t="shared" ref="M62:M64" ca="1" si="28">L62-$J62</f>
        <v>#VALUE!</v>
      </c>
      <c r="N62" s="32" t="e">
        <f t="shared" ref="N62:N64" ca="1" si="29">(L62-$J62)/$J62</f>
        <v>#VALUE!</v>
      </c>
      <c r="O62" s="26"/>
    </row>
    <row r="63" spans="1:15" ht="17.25" hidden="1" customHeight="1">
      <c r="B63" s="167" t="s">
        <v>24</v>
      </c>
      <c r="C63" s="158"/>
      <c r="D63" s="158"/>
      <c r="E63" s="158"/>
      <c r="F63" s="159"/>
      <c r="G63" s="47"/>
      <c r="H63" s="47"/>
      <c r="I63" s="48"/>
      <c r="J63" s="48">
        <f>SUM(J62)</f>
        <v>0</v>
      </c>
      <c r="K63" s="31"/>
      <c r="L63" s="94" t="e">
        <f ca="1">SUM(L62)</f>
        <v>#VALUE!</v>
      </c>
      <c r="M63" s="40" t="e">
        <f t="shared" ca="1" si="28"/>
        <v>#VALUE!</v>
      </c>
      <c r="N63" s="41" t="e">
        <f t="shared" ca="1" si="29"/>
        <v>#VALUE!</v>
      </c>
      <c r="O63" s="20"/>
    </row>
    <row r="64" spans="1:15" ht="17.25" hidden="1" customHeight="1">
      <c r="B64" s="162" t="s">
        <v>50</v>
      </c>
      <c r="C64" s="165">
        <f ca="1">IFERROR(__xludf.DUMMYFUNCTION("IMPORTRANGE(""18m7_5Vy-SocSuBMtXmritoiWfMy_VSJ0LqQCfdmFyYU/edit?gid=852545723"",""'1.자산투자(원금)'!q11"")"),0)</f>
        <v>0</v>
      </c>
      <c r="D64" s="28" t="s">
        <v>51</v>
      </c>
      <c r="E64" s="95" t="s">
        <v>52</v>
      </c>
      <c r="F64" s="93" t="s">
        <v>53</v>
      </c>
      <c r="G64" s="14">
        <v>0</v>
      </c>
      <c r="H64" s="96">
        <v>120</v>
      </c>
      <c r="I64" s="29"/>
      <c r="J64" s="29">
        <f ca="1">IFERROR(__xludf.DUMMYFUNCTION("G64*H64*GOOGLEFINANCE(""usdkrw"")"),0)</f>
        <v>0</v>
      </c>
      <c r="K64" s="97">
        <f ca="1">IFERROR(__xludf.DUMMYFUNCTION("iferror(IF($D64=""미국"",GOOGLEFINANCE($E64),""""),)"),222.82)</f>
        <v>222.82</v>
      </c>
      <c r="L64" s="31">
        <f ca="1">IFERROR(__xludf.DUMMYFUNCTION("G64*GOOGLEFINANCE(""usdkrw"")*K64"),0)</f>
        <v>0</v>
      </c>
      <c r="M64" s="31">
        <f t="shared" ca="1" si="28"/>
        <v>0</v>
      </c>
      <c r="N64" s="32" t="e">
        <f t="shared" ca="1" si="29"/>
        <v>#DIV/0!</v>
      </c>
      <c r="O64" s="26"/>
    </row>
    <row r="65" spans="2:15" ht="17.25" hidden="1" customHeight="1">
      <c r="B65" s="163"/>
      <c r="C65" s="163"/>
      <c r="O65" s="27"/>
    </row>
    <row r="66" spans="2:15" ht="17.25" hidden="1" customHeight="1">
      <c r="B66" s="163"/>
      <c r="C66" s="163"/>
      <c r="D66" s="28"/>
      <c r="E66" s="12"/>
      <c r="F66" s="93"/>
      <c r="G66" s="14"/>
      <c r="H66" s="96"/>
      <c r="I66" s="29"/>
      <c r="J66" s="29"/>
      <c r="K66" s="97"/>
      <c r="L66" s="31"/>
      <c r="M66" s="31"/>
      <c r="N66" s="32"/>
      <c r="O66" s="26"/>
    </row>
    <row r="67" spans="2:15" ht="17.25" hidden="1" customHeight="1">
      <c r="B67" s="163"/>
      <c r="C67" s="163"/>
      <c r="D67" s="28"/>
      <c r="E67" s="12"/>
      <c r="F67" s="93"/>
      <c r="G67" s="14"/>
      <c r="H67" s="96"/>
      <c r="I67" s="29"/>
      <c r="J67" s="29"/>
      <c r="K67" s="97"/>
      <c r="L67" s="31"/>
      <c r="M67" s="31"/>
      <c r="N67" s="32"/>
      <c r="O67" s="26"/>
    </row>
    <row r="68" spans="2:15" ht="17.25" hidden="1" customHeight="1">
      <c r="B68" s="163"/>
      <c r="C68" s="163"/>
      <c r="D68" s="28"/>
      <c r="E68" s="12"/>
      <c r="F68" s="93"/>
      <c r="G68" s="14"/>
      <c r="H68" s="96"/>
      <c r="I68" s="29"/>
      <c r="J68" s="29"/>
      <c r="K68" s="97"/>
      <c r="L68" s="31"/>
      <c r="M68" s="31"/>
      <c r="N68" s="32"/>
      <c r="O68" s="26"/>
    </row>
    <row r="69" spans="2:15" ht="17.25" hidden="1" customHeight="1">
      <c r="B69" s="164"/>
      <c r="C69" s="164"/>
      <c r="D69" s="28"/>
      <c r="E69" s="12"/>
      <c r="F69" s="93"/>
      <c r="G69" s="14"/>
      <c r="H69" s="96"/>
      <c r="I69" s="29"/>
      <c r="J69" s="29"/>
      <c r="K69" s="97"/>
      <c r="L69" s="31"/>
      <c r="M69" s="31"/>
      <c r="N69" s="32"/>
      <c r="O69" s="26"/>
    </row>
    <row r="70" spans="2:15" ht="17.25" hidden="1" customHeight="1">
      <c r="B70" s="44" t="s">
        <v>24</v>
      </c>
      <c r="C70" s="45"/>
      <c r="D70" s="45"/>
      <c r="E70" s="45"/>
      <c r="F70" s="46"/>
      <c r="G70" s="47"/>
      <c r="H70" s="47"/>
      <c r="I70" s="48"/>
      <c r="J70" s="48">
        <f ca="1">SUM(J64:J69)</f>
        <v>0</v>
      </c>
      <c r="K70" s="31"/>
      <c r="L70" s="39">
        <f ca="1">SUM(L64:L69)</f>
        <v>0</v>
      </c>
      <c r="M70" s="40">
        <f ca="1">L70-C64</f>
        <v>0</v>
      </c>
      <c r="N70" s="41" t="e">
        <f ca="1">(L70-C64)/C64</f>
        <v>#DIV/0!</v>
      </c>
      <c r="O70" s="20"/>
    </row>
    <row r="71" spans="2:15" ht="33" hidden="1" customHeight="1">
      <c r="B71" s="162" t="s">
        <v>54</v>
      </c>
      <c r="C71" s="165">
        <f ca="1">IFERROR(__xludf.DUMMYFUNCTION("IMPORTRANGE(""18m7_5Vy-SocSuBMtXmritoiWfMy_VSJ0LqQCfdmFyYU/edit?gid=852545723"",""'1.자산투자(원금)'!q12"")"),0)</f>
        <v>0</v>
      </c>
      <c r="D71" s="11" t="s">
        <v>51</v>
      </c>
      <c r="E71" s="12" t="s">
        <v>55</v>
      </c>
      <c r="F71" s="93" t="s">
        <v>56</v>
      </c>
      <c r="G71" s="98">
        <v>0.1</v>
      </c>
      <c r="H71" s="96">
        <v>317.56</v>
      </c>
      <c r="I71" s="29"/>
      <c r="J71" s="29">
        <f ca="1">IFERROR(__xludf.DUMMYFUNCTION("G71*H71*GOOGLEFINANCE(""usdkrw"")"),48731.64614)</f>
        <v>48731.646139999997</v>
      </c>
      <c r="K71" s="97">
        <f ca="1">IFERROR(__xludf.DUMMYFUNCTION("iferror(IF($D71=""미국"",GOOGLEFINANCE($E71),""""),)"),926.61)</f>
        <v>926.61</v>
      </c>
      <c r="L71" s="31">
        <f ca="1">IFERROR(__xludf.DUMMYFUNCTION("G71*GOOGLEFINANCE(""usdkrw"")*K71"),142194.327465)</f>
        <v>142194.32746500001</v>
      </c>
      <c r="M71" s="31">
        <f ca="1">L71-$J71</f>
        <v>93462.681325000012</v>
      </c>
      <c r="N71" s="32">
        <f ca="1">(L71-$J71)/$J71</f>
        <v>1.9179052777427892</v>
      </c>
      <c r="O71" s="26"/>
    </row>
    <row r="72" spans="2:15" ht="17.25" hidden="1" customHeight="1">
      <c r="B72" s="163"/>
      <c r="C72" s="163"/>
      <c r="D72" s="11"/>
      <c r="E72" s="12"/>
      <c r="F72" s="93"/>
      <c r="G72" s="98"/>
      <c r="H72" s="96"/>
      <c r="I72" s="29"/>
      <c r="J72" s="29"/>
      <c r="K72" s="97"/>
      <c r="L72" s="31"/>
      <c r="M72" s="31"/>
      <c r="N72" s="32"/>
      <c r="O72" s="26"/>
    </row>
    <row r="73" spans="2:15" ht="16.5" hidden="1" customHeight="1">
      <c r="B73" s="163"/>
      <c r="C73" s="163"/>
      <c r="D73" s="11"/>
      <c r="E73" s="12"/>
      <c r="F73" s="42"/>
      <c r="G73" s="14"/>
      <c r="H73" s="15"/>
      <c r="I73" s="16"/>
      <c r="J73" s="16"/>
      <c r="K73" s="17"/>
      <c r="L73" s="18"/>
      <c r="M73" s="18"/>
      <c r="N73" s="43"/>
      <c r="O73" s="26"/>
    </row>
    <row r="74" spans="2:15" ht="16.5" hidden="1" customHeight="1">
      <c r="B74" s="163"/>
      <c r="C74" s="163"/>
      <c r="D74" s="11"/>
      <c r="E74" s="12"/>
      <c r="F74" s="93"/>
      <c r="G74" s="14"/>
      <c r="H74" s="96"/>
      <c r="I74" s="29"/>
      <c r="J74" s="29"/>
      <c r="K74" s="97"/>
      <c r="L74" s="31"/>
      <c r="M74" s="31"/>
      <c r="N74" s="32"/>
      <c r="O74" s="26"/>
    </row>
    <row r="75" spans="2:15" ht="17.25" hidden="1" customHeight="1">
      <c r="B75" s="163"/>
      <c r="C75" s="163"/>
      <c r="D75" s="11"/>
      <c r="E75" s="12"/>
      <c r="F75" s="24"/>
      <c r="G75" s="14"/>
      <c r="H75" s="15"/>
      <c r="I75" s="29"/>
      <c r="J75" s="29"/>
      <c r="K75" s="30"/>
      <c r="L75" s="31"/>
      <c r="M75" s="31"/>
      <c r="N75" s="32"/>
      <c r="O75" s="26"/>
    </row>
    <row r="76" spans="2:15" ht="17.25" hidden="1" customHeight="1">
      <c r="B76" s="163"/>
      <c r="C76" s="163"/>
      <c r="D76" s="11"/>
      <c r="E76" s="12"/>
      <c r="F76" s="93"/>
      <c r="G76" s="14"/>
      <c r="H76" s="96"/>
      <c r="I76" s="29"/>
      <c r="J76" s="29"/>
      <c r="K76" s="97"/>
      <c r="L76" s="31"/>
      <c r="M76" s="31"/>
      <c r="N76" s="32"/>
      <c r="O76" s="26"/>
    </row>
    <row r="77" spans="2:15" ht="17.25" hidden="1" customHeight="1">
      <c r="B77" s="163"/>
      <c r="C77" s="163"/>
      <c r="D77" s="11"/>
      <c r="E77" s="12"/>
      <c r="F77" s="93"/>
      <c r="G77" s="14"/>
      <c r="H77" s="96"/>
      <c r="I77" s="29"/>
      <c r="J77" s="29"/>
      <c r="K77" s="97"/>
      <c r="L77" s="31"/>
      <c r="M77" s="31"/>
      <c r="N77" s="32"/>
      <c r="O77" s="26"/>
    </row>
    <row r="78" spans="2:15" ht="17.25" hidden="1" customHeight="1">
      <c r="B78" s="163"/>
      <c r="C78" s="163"/>
      <c r="D78" s="11"/>
      <c r="E78" s="12"/>
      <c r="F78" s="93"/>
      <c r="G78" s="14"/>
      <c r="H78" s="96"/>
      <c r="I78" s="29"/>
      <c r="J78" s="29"/>
      <c r="K78" s="97"/>
      <c r="L78" s="31"/>
      <c r="M78" s="31"/>
      <c r="N78" s="32"/>
      <c r="O78" s="26"/>
    </row>
    <row r="79" spans="2:15" ht="17.25" hidden="1" customHeight="1">
      <c r="B79" s="164"/>
      <c r="C79" s="164"/>
      <c r="D79" s="11"/>
      <c r="E79" s="12"/>
      <c r="F79" s="93"/>
      <c r="G79" s="14"/>
      <c r="H79" s="96"/>
      <c r="I79" s="29"/>
      <c r="J79" s="29"/>
      <c r="K79" s="97"/>
      <c r="L79" s="31"/>
      <c r="M79" s="31"/>
      <c r="N79" s="32"/>
      <c r="O79" s="26"/>
    </row>
    <row r="80" spans="2:15" ht="17.25" hidden="1" customHeight="1">
      <c r="B80" s="44" t="s">
        <v>24</v>
      </c>
      <c r="C80" s="45"/>
      <c r="D80" s="45"/>
      <c r="E80" s="45"/>
      <c r="F80" s="46"/>
      <c r="G80" s="47"/>
      <c r="H80" s="47"/>
      <c r="I80" s="48"/>
      <c r="J80" s="48">
        <f ca="1">SUM(J71:J79)</f>
        <v>48731.646139999997</v>
      </c>
      <c r="K80" s="31"/>
      <c r="L80" s="39">
        <f ca="1">SUM(L71:L79)</f>
        <v>142194.32746500001</v>
      </c>
      <c r="M80" s="40">
        <f ca="1">L80-C71</f>
        <v>142194.32746500001</v>
      </c>
      <c r="N80" s="41">
        <f t="shared" ref="N80:N87" ca="1" si="30">(L80-$J80)/$J80</f>
        <v>1.9179052777427892</v>
      </c>
      <c r="O80" s="20"/>
    </row>
    <row r="81" spans="1:15" ht="17.25" customHeight="1">
      <c r="B81" s="172" t="s">
        <v>57</v>
      </c>
      <c r="C81" s="166">
        <f ca="1">IFERROR(__xludf.DUMMYFUNCTION("IMPORTRANGE(""18m7_5Vy-SocSuBMtXmritoiWfMy_VSJ0LqQCfdmFyYU/edit?gid=852545723"",""'1.자산투자(원금)'!q15"")"),118653718)</f>
        <v>118653718</v>
      </c>
      <c r="D81" s="28" t="s">
        <v>13</v>
      </c>
      <c r="E81" s="12" t="s">
        <v>35</v>
      </c>
      <c r="F81" s="21" t="s">
        <v>36</v>
      </c>
      <c r="G81" s="14">
        <v>2059</v>
      </c>
      <c r="H81" s="15">
        <v>31800</v>
      </c>
      <c r="I81" s="29"/>
      <c r="J81" s="29">
        <f t="shared" ref="J81:J87" si="31">G81*H81</f>
        <v>65476200</v>
      </c>
      <c r="K81" s="30">
        <f ca="1">IFERROR(__xludf.DUMMYFUNCTION("iferror(IF($D81=""한국"",GOOGLEFINANCE($E81),""""),)"),52085)</f>
        <v>52085</v>
      </c>
      <c r="L81" s="31">
        <f t="shared" ref="L81:L87" ca="1" si="32">$G81*K81</f>
        <v>107243015</v>
      </c>
      <c r="M81" s="31">
        <f t="shared" ref="M81:M87" ca="1" si="33">L81-$J81</f>
        <v>41766815</v>
      </c>
      <c r="N81" s="19">
        <f t="shared" ca="1" si="30"/>
        <v>0.63789308176100634</v>
      </c>
      <c r="O81" s="23"/>
    </row>
    <row r="82" spans="1:15" ht="17.25" customHeight="1">
      <c r="B82" s="173"/>
      <c r="C82" s="163"/>
      <c r="D82" s="11" t="s">
        <v>13</v>
      </c>
      <c r="E82" s="12" t="s">
        <v>14</v>
      </c>
      <c r="F82" s="13" t="s">
        <v>15</v>
      </c>
      <c r="G82" s="14">
        <v>1275</v>
      </c>
      <c r="H82" s="15">
        <v>124747</v>
      </c>
      <c r="I82" s="16"/>
      <c r="J82" s="16">
        <f t="shared" si="31"/>
        <v>159052425</v>
      </c>
      <c r="K82" s="17">
        <f ca="1">IFERROR(__xludf.DUMMYFUNCTION("iferror(IF($D82=""한국"",GOOGLEFINANCE($E82),""""),)"),127675)</f>
        <v>127675</v>
      </c>
      <c r="L82" s="18">
        <f t="shared" ca="1" si="32"/>
        <v>162785625</v>
      </c>
      <c r="M82" s="18">
        <f t="shared" ca="1" si="33"/>
        <v>3733200</v>
      </c>
      <c r="N82" s="19">
        <f t="shared" ca="1" si="30"/>
        <v>2.347150632880951E-2</v>
      </c>
      <c r="O82" s="20"/>
    </row>
    <row r="83" spans="1:15" ht="17.25" customHeight="1">
      <c r="B83" s="173"/>
      <c r="C83" s="163"/>
      <c r="D83" s="84" t="s">
        <v>13</v>
      </c>
      <c r="E83" s="85" t="s">
        <v>48</v>
      </c>
      <c r="F83" s="86" t="s">
        <v>49</v>
      </c>
      <c r="G83" s="87">
        <v>1031</v>
      </c>
      <c r="H83" s="87">
        <v>22973</v>
      </c>
      <c r="I83" s="87"/>
      <c r="J83" s="87">
        <f t="shared" si="31"/>
        <v>23685163</v>
      </c>
      <c r="K83" s="88">
        <f ca="1">IFERROR(__xludf.DUMMYFUNCTION("INDEX(IMPORTXML(""https://finance.naver.com/item/main.naver?code=0195R0"",""//p[@class='no_today']/em/span""),1)"),28950)</f>
        <v>28950</v>
      </c>
      <c r="L83" s="89">
        <f t="shared" ca="1" si="32"/>
        <v>29847450</v>
      </c>
      <c r="M83" s="89">
        <f t="shared" ca="1" si="33"/>
        <v>6162287</v>
      </c>
      <c r="N83" s="90">
        <f t="shared" ca="1" si="30"/>
        <v>0.26017498802942585</v>
      </c>
      <c r="O83" s="99"/>
    </row>
    <row r="84" spans="1:15" ht="17.25" hidden="1" customHeight="1">
      <c r="B84" s="173"/>
      <c r="C84" s="163"/>
      <c r="D84" s="76" t="s">
        <v>13</v>
      </c>
      <c r="E84" s="77" t="s">
        <v>44</v>
      </c>
      <c r="F84" s="78" t="s">
        <v>45</v>
      </c>
      <c r="G84" s="79"/>
      <c r="H84" s="79"/>
      <c r="I84" s="79"/>
      <c r="J84" s="79">
        <f t="shared" si="31"/>
        <v>0</v>
      </c>
      <c r="K84" s="80">
        <f ca="1">IFERROR(__xludf.DUMMYFUNCTION("iferror(IF($D84=""한국"",GOOGLEFINANCE($E84),""""),)"),52000)</f>
        <v>52000</v>
      </c>
      <c r="L84" s="81">
        <f t="shared" ca="1" si="32"/>
        <v>0</v>
      </c>
      <c r="M84" s="81">
        <f t="shared" ca="1" si="33"/>
        <v>0</v>
      </c>
      <c r="N84" s="82" t="e">
        <f t="shared" ca="1" si="30"/>
        <v>#DIV/0!</v>
      </c>
      <c r="O84" s="20"/>
    </row>
    <row r="85" spans="1:15" ht="17.25" customHeight="1">
      <c r="B85" s="173"/>
      <c r="C85" s="163"/>
      <c r="D85" s="11" t="s">
        <v>13</v>
      </c>
      <c r="E85" s="12" t="s">
        <v>32</v>
      </c>
      <c r="F85" s="83" t="s">
        <v>58</v>
      </c>
      <c r="G85" s="14">
        <v>3</v>
      </c>
      <c r="H85" s="15">
        <v>19187</v>
      </c>
      <c r="I85" s="29"/>
      <c r="J85" s="29">
        <f t="shared" si="31"/>
        <v>57561</v>
      </c>
      <c r="K85" s="30">
        <f ca="1">IFERROR(__xludf.DUMMYFUNCTION("iferror(IF($D83=""한국"",GOOGLEFINANCE($E85),""""),)"),63025)</f>
        <v>63025</v>
      </c>
      <c r="L85" s="31">
        <f t="shared" ca="1" si="32"/>
        <v>189075</v>
      </c>
      <c r="M85" s="31">
        <f t="shared" ca="1" si="33"/>
        <v>131514</v>
      </c>
      <c r="N85" s="25">
        <f t="shared" ca="1" si="30"/>
        <v>2.2847761505185802</v>
      </c>
      <c r="O85" s="26"/>
    </row>
    <row r="86" spans="1:15" ht="17.25" customHeight="1">
      <c r="B86" s="173"/>
      <c r="C86" s="163"/>
      <c r="D86" s="11" t="s">
        <v>13</v>
      </c>
      <c r="E86" s="12" t="s">
        <v>26</v>
      </c>
      <c r="F86" s="24" t="s">
        <v>27</v>
      </c>
      <c r="G86" s="14">
        <v>4</v>
      </c>
      <c r="H86" s="15">
        <v>12960</v>
      </c>
      <c r="I86" s="16"/>
      <c r="J86" s="16">
        <f t="shared" si="31"/>
        <v>51840</v>
      </c>
      <c r="K86" s="17">
        <f ca="1">IFERROR(__xludf.DUMMYFUNCTION("INDEX(IMPORTXML(""https://finance.naver.com/item/main.naver?code=0177R0"",""//p[@class='no_today']/em/span""),1)"),15610)</f>
        <v>15610</v>
      </c>
      <c r="L86" s="18">
        <f t="shared" ca="1" si="32"/>
        <v>62440</v>
      </c>
      <c r="M86" s="18">
        <f t="shared" ca="1" si="33"/>
        <v>10600</v>
      </c>
      <c r="N86" s="43">
        <f t="shared" ca="1" si="30"/>
        <v>0.2044753086419753</v>
      </c>
      <c r="O86" s="99"/>
    </row>
    <row r="87" spans="1:15" ht="17.25" customHeight="1">
      <c r="B87" s="174"/>
      <c r="C87" s="164"/>
      <c r="D87" s="91" t="s">
        <v>13</v>
      </c>
      <c r="E87" s="12" t="s">
        <v>16</v>
      </c>
      <c r="F87" s="50" t="s">
        <v>17</v>
      </c>
      <c r="G87" s="14">
        <v>2</v>
      </c>
      <c r="H87" s="15">
        <v>13471</v>
      </c>
      <c r="I87" s="16"/>
      <c r="J87" s="16">
        <f t="shared" si="31"/>
        <v>26942</v>
      </c>
      <c r="K87" s="17">
        <f ca="1">IFERROR(__xludf.DUMMYFUNCTION("INDEX(IMPORTXML(""https://finance.naver.com/item/main.naver?code=0162Z0"",""//p[@class='no_today']/em/span""),1)"),15205)</f>
        <v>15205</v>
      </c>
      <c r="L87" s="18">
        <f t="shared" ca="1" si="32"/>
        <v>30410</v>
      </c>
      <c r="M87" s="18">
        <f t="shared" ca="1" si="33"/>
        <v>3468</v>
      </c>
      <c r="N87" s="25">
        <f t="shared" ca="1" si="30"/>
        <v>0.12872095612797863</v>
      </c>
      <c r="O87" s="99"/>
    </row>
    <row r="88" spans="1:15" ht="17.25" customHeight="1">
      <c r="B88" s="44" t="s">
        <v>24</v>
      </c>
      <c r="C88" s="45"/>
      <c r="D88" s="45"/>
      <c r="E88" s="45"/>
      <c r="F88" s="46"/>
      <c r="G88" s="47"/>
      <c r="H88" s="47"/>
      <c r="I88" s="48"/>
      <c r="J88" s="48">
        <f>SUM(J81:J87)</f>
        <v>248350131</v>
      </c>
      <c r="K88" s="31"/>
      <c r="L88" s="100">
        <f ca="1">SUM(L81:L87)</f>
        <v>300158015</v>
      </c>
      <c r="M88" s="40">
        <f ca="1">L88-C81</f>
        <v>181504297</v>
      </c>
      <c r="N88" s="41">
        <f ca="1">(L88-C81)/C81</f>
        <v>1.5296975101951715</v>
      </c>
      <c r="O88" s="20"/>
    </row>
    <row r="89" spans="1:15" ht="17.399999999999999">
      <c r="B89" s="162" t="s">
        <v>59</v>
      </c>
      <c r="C89" s="165">
        <f ca="1">IFERROR(__xludf.DUMMYFUNCTION("IMPORTRANGE(""18m7_5Vy-SocSuBMtXmritoiWfMy_VSJ0LqQCfdmFyYU/edit?gid=852545723"",""'1.자산투자(원금)'!q10"")"),500000)</f>
        <v>500000</v>
      </c>
      <c r="D89" s="28" t="s">
        <v>13</v>
      </c>
      <c r="E89" s="12" t="s">
        <v>35</v>
      </c>
      <c r="F89" s="21" t="s">
        <v>36</v>
      </c>
      <c r="G89" s="14">
        <v>36</v>
      </c>
      <c r="H89" s="15">
        <v>29595</v>
      </c>
      <c r="I89" s="29"/>
      <c r="J89" s="29">
        <f>G89*H89</f>
        <v>1065420</v>
      </c>
      <c r="K89" s="30">
        <f ca="1">IFERROR(__xludf.DUMMYFUNCTION("iferror(IF($D89=""한국"",GOOGLEFINANCE($E89),""""),)"),52085)</f>
        <v>52085</v>
      </c>
      <c r="L89" s="31">
        <f ca="1">$G89*K89</f>
        <v>1875060</v>
      </c>
      <c r="M89" s="31">
        <f ca="1">L89-$J89</f>
        <v>809640</v>
      </c>
      <c r="N89" s="19">
        <f ca="1">(L89-$J89)/$J89</f>
        <v>0.75992566311877008</v>
      </c>
      <c r="O89" s="20"/>
    </row>
    <row r="90" spans="1:15" ht="17.399999999999999" hidden="1">
      <c r="B90" s="163"/>
      <c r="C90" s="163"/>
      <c r="D90" s="28"/>
      <c r="E90" s="12"/>
      <c r="F90" s="93"/>
      <c r="G90" s="14"/>
      <c r="H90" s="15"/>
      <c r="I90" s="29"/>
      <c r="J90" s="29"/>
      <c r="K90" s="30"/>
      <c r="L90" s="31"/>
      <c r="M90" s="31"/>
      <c r="N90" s="32"/>
      <c r="O90" s="26"/>
    </row>
    <row r="91" spans="1:15" ht="17.399999999999999" hidden="1">
      <c r="B91" s="163"/>
      <c r="C91" s="163"/>
      <c r="D91" s="28"/>
      <c r="E91" s="12"/>
      <c r="F91" s="93"/>
      <c r="G91" s="14"/>
      <c r="H91" s="15"/>
      <c r="I91" s="29"/>
      <c r="J91" s="29"/>
      <c r="K91" s="30"/>
      <c r="L91" s="31"/>
      <c r="M91" s="31"/>
      <c r="N91" s="32"/>
      <c r="O91" s="26"/>
    </row>
    <row r="92" spans="1:15" ht="17.399999999999999" hidden="1">
      <c r="B92" s="163"/>
      <c r="C92" s="163"/>
      <c r="D92" s="28"/>
      <c r="E92" s="12"/>
      <c r="F92" s="93"/>
      <c r="G92" s="14"/>
      <c r="H92" s="15"/>
      <c r="I92" s="29"/>
      <c r="J92" s="29"/>
      <c r="K92" s="30"/>
      <c r="L92" s="31"/>
      <c r="M92" s="31"/>
      <c r="N92" s="32"/>
      <c r="O92" s="26"/>
    </row>
    <row r="93" spans="1:15" ht="17.399999999999999">
      <c r="B93" s="164"/>
      <c r="C93" s="164"/>
      <c r="D93" s="28" t="s">
        <v>13</v>
      </c>
      <c r="E93" s="12" t="s">
        <v>20</v>
      </c>
      <c r="F93" s="93" t="s">
        <v>21</v>
      </c>
      <c r="G93" s="14">
        <v>1</v>
      </c>
      <c r="H93" s="15">
        <v>10980</v>
      </c>
      <c r="I93" s="29"/>
      <c r="J93" s="29">
        <f>G93*H93</f>
        <v>10980</v>
      </c>
      <c r="K93" s="30">
        <f ca="1">IFERROR(__xludf.DUMMYFUNCTION("iferror(IF($D93=""한국"",GOOGLEFINANCE($E93),""""),)"),15405)</f>
        <v>15405</v>
      </c>
      <c r="L93" s="31">
        <f ca="1">$G93*K93</f>
        <v>15405</v>
      </c>
      <c r="M93" s="31">
        <f ca="1">L93-$J93</f>
        <v>4425</v>
      </c>
      <c r="N93" s="32">
        <f ca="1">(L93-$J93)/$J93</f>
        <v>0.40300546448087432</v>
      </c>
      <c r="O93" s="26"/>
    </row>
    <row r="94" spans="1:15" ht="17.25" customHeight="1">
      <c r="B94" s="168" t="s">
        <v>24</v>
      </c>
      <c r="C94" s="158"/>
      <c r="D94" s="158"/>
      <c r="E94" s="158"/>
      <c r="F94" s="159"/>
      <c r="G94" s="101"/>
      <c r="H94" s="101"/>
      <c r="I94" s="48"/>
      <c r="J94" s="48">
        <f>SUM(J89:J93)</f>
        <v>1076400</v>
      </c>
      <c r="K94" s="31"/>
      <c r="L94" s="39">
        <f ca="1">SUM(L89:L93)</f>
        <v>1890465</v>
      </c>
      <c r="M94" s="102">
        <f ca="1">L94-C89</f>
        <v>1390465</v>
      </c>
      <c r="N94" s="41">
        <f ca="1">(L94-C89)/C89</f>
        <v>2.7809300000000001</v>
      </c>
      <c r="O94" s="20"/>
    </row>
    <row r="95" spans="1:15" ht="17.25" customHeight="1">
      <c r="A95" s="103"/>
      <c r="B95" s="162" t="s">
        <v>60</v>
      </c>
      <c r="C95" s="165">
        <f ca="1">IFERROR(__xludf.DUMMYFUNCTION("IMPORTRANGE(""18m7_5Vy-SocSuBMtXmritoiWfMy_VSJ0LqQCfdmFyYU/edit?gid=852545723"",""'1.자산투자(원금)'!q16"")"),15000000)</f>
        <v>15000000</v>
      </c>
      <c r="D95" s="28" t="s">
        <v>13</v>
      </c>
      <c r="E95" s="12" t="s">
        <v>35</v>
      </c>
      <c r="F95" s="21" t="s">
        <v>36</v>
      </c>
      <c r="G95" s="14">
        <v>1502</v>
      </c>
      <c r="H95" s="15">
        <v>38398</v>
      </c>
      <c r="I95" s="29"/>
      <c r="J95" s="29">
        <f t="shared" ref="J95:J96" si="34">G95*H95</f>
        <v>57673796</v>
      </c>
      <c r="K95" s="30">
        <f ca="1">IFERROR(__xludf.DUMMYFUNCTION("iferror(IF($D95=""한국"",GOOGLEFINANCE($E95),""""),)"),52085)</f>
        <v>52085</v>
      </c>
      <c r="L95" s="31">
        <f t="shared" ref="L95:L96" ca="1" si="35">$G95*K95</f>
        <v>78231670</v>
      </c>
      <c r="M95" s="31">
        <f t="shared" ref="M95:M96" ca="1" si="36">L95-$J95</f>
        <v>20557874</v>
      </c>
      <c r="N95" s="19">
        <f t="shared" ref="N95:N96" ca="1" si="37">(L95-$J95)/$J95</f>
        <v>0.35645085681545913</v>
      </c>
      <c r="O95" s="20"/>
    </row>
    <row r="96" spans="1:15" ht="17.25" customHeight="1">
      <c r="A96" s="103"/>
      <c r="B96" s="163"/>
      <c r="C96" s="163"/>
      <c r="D96" s="91" t="s">
        <v>13</v>
      </c>
      <c r="E96" s="12" t="s">
        <v>61</v>
      </c>
      <c r="F96" s="13" t="s">
        <v>62</v>
      </c>
      <c r="G96" s="14">
        <v>8</v>
      </c>
      <c r="H96" s="15">
        <v>26335</v>
      </c>
      <c r="I96" s="29"/>
      <c r="J96" s="29">
        <f t="shared" si="34"/>
        <v>210680</v>
      </c>
      <c r="K96" s="30">
        <f ca="1">IFERROR(__xludf.DUMMYFUNCTION("iferror(IF($D96=""한국"",GOOGLEFINANCE($E96),""""),)"),27825)</f>
        <v>27825</v>
      </c>
      <c r="L96" s="31">
        <f t="shared" ca="1" si="35"/>
        <v>222600</v>
      </c>
      <c r="M96" s="31">
        <f t="shared" ca="1" si="36"/>
        <v>11920</v>
      </c>
      <c r="N96" s="19">
        <f t="shared" ca="1" si="37"/>
        <v>5.6578697550787926E-2</v>
      </c>
      <c r="O96" s="20"/>
    </row>
    <row r="97" spans="1:15" ht="17.25" hidden="1" customHeight="1">
      <c r="A97" s="103"/>
      <c r="B97" s="163"/>
      <c r="C97" s="163"/>
      <c r="D97" s="104"/>
      <c r="E97" s="104"/>
      <c r="F97" s="104"/>
      <c r="G97" s="104"/>
      <c r="H97" s="16"/>
      <c r="I97" s="105"/>
      <c r="J97" s="105"/>
      <c r="K97" s="18"/>
      <c r="L97" s="105"/>
      <c r="M97" s="105"/>
      <c r="N97" s="106"/>
      <c r="O97" s="20"/>
    </row>
    <row r="98" spans="1:15" ht="17.25" hidden="1" customHeight="1">
      <c r="A98" s="103"/>
      <c r="B98" s="163"/>
      <c r="C98" s="163"/>
      <c r="D98" s="104"/>
      <c r="E98" s="104"/>
      <c r="F98" s="104"/>
      <c r="G98" s="104"/>
      <c r="H98" s="16"/>
      <c r="I98" s="105"/>
      <c r="J98" s="105"/>
      <c r="K98" s="18"/>
      <c r="L98" s="105"/>
      <c r="M98" s="105"/>
      <c r="N98" s="106"/>
      <c r="O98" s="20"/>
    </row>
    <row r="99" spans="1:15" ht="17.25" hidden="1" customHeight="1">
      <c r="A99" s="103"/>
      <c r="B99" s="164"/>
      <c r="C99" s="164"/>
      <c r="D99" s="104"/>
      <c r="E99" s="104"/>
      <c r="F99" s="104"/>
      <c r="G99" s="104"/>
      <c r="H99" s="16"/>
      <c r="I99" s="105"/>
      <c r="J99" s="105"/>
      <c r="K99" s="18"/>
      <c r="L99" s="105"/>
      <c r="M99" s="105"/>
      <c r="N99" s="106"/>
      <c r="O99" s="20"/>
    </row>
    <row r="100" spans="1:15" ht="17.25" customHeight="1">
      <c r="B100" s="63" t="s">
        <v>24</v>
      </c>
      <c r="C100" s="64"/>
      <c r="D100" s="64"/>
      <c r="E100" s="64"/>
      <c r="F100" s="65"/>
      <c r="G100" s="101"/>
      <c r="H100" s="101"/>
      <c r="I100" s="48"/>
      <c r="J100" s="48">
        <f>SUM(J95:J99)</f>
        <v>57884476</v>
      </c>
      <c r="K100" s="31"/>
      <c r="L100" s="39">
        <f ca="1">SUM(L95:L99)</f>
        <v>78454270</v>
      </c>
      <c r="M100" s="102">
        <f ca="1">L100-C95</f>
        <v>63454270</v>
      </c>
      <c r="N100" s="41">
        <f ca="1">(L100-C95)/C95</f>
        <v>4.2302846666666669</v>
      </c>
      <c r="O100" s="20"/>
    </row>
    <row r="101" spans="1:15" ht="17.25" customHeight="1">
      <c r="A101" s="67"/>
      <c r="B101" s="68" t="s">
        <v>63</v>
      </c>
      <c r="C101" s="69">
        <f ca="1">SUM(C55:C99)</f>
        <v>150595375</v>
      </c>
      <c r="D101" s="70"/>
      <c r="E101" s="70"/>
      <c r="F101" s="107"/>
      <c r="G101" s="70"/>
      <c r="H101" s="71"/>
      <c r="I101" s="72"/>
      <c r="J101" s="72">
        <f ca="1">J61+J63+J70+J80+J88+J94+J100</f>
        <v>375595562.64613998</v>
      </c>
      <c r="K101" s="73"/>
      <c r="L101" s="72" t="e">
        <f ca="1">L61+L63+L70+L80+L88+L94+L100</f>
        <v>#VALUE!</v>
      </c>
      <c r="M101" s="72" t="e">
        <f t="shared" ref="M101:M102" ca="1" si="38">L101-C101</f>
        <v>#VALUE!</v>
      </c>
      <c r="N101" s="74" t="e">
        <f t="shared" ref="N101:N102" ca="1" si="39">(L101-C101)/C101</f>
        <v>#VALUE!</v>
      </c>
      <c r="O101" s="20"/>
    </row>
    <row r="102" spans="1:15" ht="17.25" customHeight="1">
      <c r="B102" s="108" t="s">
        <v>64</v>
      </c>
      <c r="C102" s="109">
        <f ca="1">C101+C54</f>
        <v>349015220</v>
      </c>
      <c r="D102" s="110"/>
      <c r="E102" s="110"/>
      <c r="F102" s="110"/>
      <c r="G102" s="110"/>
      <c r="H102" s="111"/>
      <c r="I102" s="112"/>
      <c r="J102" s="113">
        <f ca="1">J54+J101</f>
        <v>877691442.64613998</v>
      </c>
      <c r="K102" s="114"/>
      <c r="L102" s="113" t="e">
        <f ca="1">L54+L101</f>
        <v>#VALUE!</v>
      </c>
      <c r="M102" s="113" t="e">
        <f t="shared" ca="1" si="38"/>
        <v>#VALUE!</v>
      </c>
      <c r="N102" s="115" t="e">
        <f t="shared" ca="1" si="39"/>
        <v>#VALUE!</v>
      </c>
      <c r="O102" s="99"/>
    </row>
    <row r="103" spans="1:15" ht="17.25" hidden="1" customHeight="1">
      <c r="G103" s="116"/>
      <c r="H103" s="116"/>
      <c r="I103" s="116"/>
      <c r="J103" s="116"/>
      <c r="K103" s="1"/>
      <c r="L103" s="116"/>
      <c r="M103" s="116"/>
      <c r="N103" s="1"/>
      <c r="O103" s="2"/>
    </row>
    <row r="104" spans="1:15" ht="14.4" hidden="1"/>
    <row r="105" spans="1:15" ht="14.4" hidden="1"/>
    <row r="106" spans="1:15" ht="17.25" customHeight="1">
      <c r="B106" s="117"/>
      <c r="C106" s="118"/>
      <c r="D106" s="119"/>
      <c r="E106" s="119"/>
      <c r="F106" s="119"/>
      <c r="G106" s="120"/>
      <c r="H106" s="121"/>
      <c r="I106" s="120"/>
      <c r="J106" s="120"/>
      <c r="K106" s="122"/>
      <c r="L106" s="122"/>
      <c r="M106" s="122"/>
      <c r="N106" s="123"/>
      <c r="O106" s="26"/>
    </row>
    <row r="107" spans="1:15" ht="17.25" customHeight="1">
      <c r="A107" s="124"/>
      <c r="B107" s="169" t="s">
        <v>65</v>
      </c>
      <c r="C107" s="159"/>
      <c r="D107" s="28" t="s">
        <v>13</v>
      </c>
      <c r="E107" s="12" t="s">
        <v>35</v>
      </c>
      <c r="F107" s="21" t="s">
        <v>36</v>
      </c>
      <c r="G107" s="14">
        <f>1494-17</f>
        <v>1477</v>
      </c>
      <c r="H107" s="15">
        <v>32810</v>
      </c>
      <c r="I107" s="29"/>
      <c r="J107" s="29">
        <f>G107*H107</f>
        <v>48460370</v>
      </c>
      <c r="K107" s="30">
        <f ca="1">IFERROR(__xludf.DUMMYFUNCTION("iferror(IF($D107=""한국"",GOOGLEFINANCE($E107),""""),)"),52085)</f>
        <v>52085</v>
      </c>
      <c r="L107" s="31">
        <f ca="1">$G107*K107</f>
        <v>76929545</v>
      </c>
      <c r="M107" s="31">
        <f ca="1">L107-$J107</f>
        <v>28469175</v>
      </c>
      <c r="N107" s="19">
        <f ca="1">(L107-$J107)/$J107</f>
        <v>0.58747333130143253</v>
      </c>
      <c r="O107" s="125"/>
    </row>
    <row r="108" spans="1:15" ht="17.25" customHeight="1">
      <c r="B108" s="126" t="s">
        <v>0</v>
      </c>
      <c r="C108" s="126" t="s">
        <v>1</v>
      </c>
      <c r="D108" s="126"/>
      <c r="E108" s="126"/>
      <c r="F108" s="126" t="s">
        <v>4</v>
      </c>
      <c r="G108" s="127"/>
      <c r="H108" s="7" t="s">
        <v>6</v>
      </c>
      <c r="I108" s="7"/>
      <c r="J108" s="7" t="s">
        <v>7</v>
      </c>
      <c r="K108" s="128" t="s">
        <v>8</v>
      </c>
      <c r="L108" s="7" t="s">
        <v>9</v>
      </c>
      <c r="M108" s="7" t="s">
        <v>10</v>
      </c>
      <c r="N108" s="128" t="s">
        <v>11</v>
      </c>
      <c r="O108" s="125"/>
    </row>
    <row r="109" spans="1:15" ht="17.25" customHeight="1">
      <c r="B109" s="170" t="s">
        <v>66</v>
      </c>
      <c r="C109" s="165">
        <v>27000000</v>
      </c>
      <c r="D109" s="129" t="s">
        <v>13</v>
      </c>
      <c r="E109" s="12" t="s">
        <v>32</v>
      </c>
      <c r="F109" s="21" t="s">
        <v>33</v>
      </c>
      <c r="G109" s="14">
        <v>3</v>
      </c>
      <c r="H109" s="15">
        <v>20986</v>
      </c>
      <c r="I109" s="29"/>
      <c r="J109" s="29">
        <f t="shared" ref="J109:J112" si="40">G109*H109</f>
        <v>62958</v>
      </c>
      <c r="K109" s="30">
        <f ca="1">IFERROR(__xludf.DUMMYFUNCTION("iferror(IF($D109=""한국"",GOOGLEFINANCE($E109),""""),)"),63025)</f>
        <v>63025</v>
      </c>
      <c r="L109" s="31">
        <f t="shared" ref="L109:L112" ca="1" si="41">$G109*K109</f>
        <v>189075</v>
      </c>
      <c r="M109" s="31">
        <f t="shared" ref="M109:M112" ca="1" si="42">L109-$J109</f>
        <v>126117</v>
      </c>
      <c r="N109" s="19">
        <f t="shared" ref="N109:N112" ca="1" si="43">(L109-$J109)/$J109</f>
        <v>2.0031926045935387</v>
      </c>
      <c r="O109" s="20"/>
    </row>
    <row r="110" spans="1:15" ht="17.25" customHeight="1">
      <c r="B110" s="163"/>
      <c r="C110" s="163"/>
      <c r="D110" s="28" t="s">
        <v>13</v>
      </c>
      <c r="E110" s="12" t="s">
        <v>35</v>
      </c>
      <c r="F110" s="21" t="s">
        <v>36</v>
      </c>
      <c r="G110" s="14">
        <v>1656</v>
      </c>
      <c r="H110" s="15">
        <v>33430</v>
      </c>
      <c r="I110" s="29"/>
      <c r="J110" s="29">
        <f t="shared" si="40"/>
        <v>55360080</v>
      </c>
      <c r="K110" s="30">
        <f ca="1">IFERROR(__xludf.DUMMYFUNCTION("iferror(IF($D110=""한국"",GOOGLEFINANCE($E110),""""),)"),52085)</f>
        <v>52085</v>
      </c>
      <c r="L110" s="31">
        <f t="shared" ca="1" si="41"/>
        <v>86252760</v>
      </c>
      <c r="M110" s="31">
        <f t="shared" ca="1" si="42"/>
        <v>30892680</v>
      </c>
      <c r="N110" s="19">
        <f t="shared" ca="1" si="43"/>
        <v>0.55803170804666469</v>
      </c>
      <c r="O110" s="26"/>
    </row>
    <row r="111" spans="1:15" ht="17.25" hidden="1" customHeight="1">
      <c r="B111" s="163"/>
      <c r="C111" s="163"/>
      <c r="D111" s="76" t="s">
        <v>13</v>
      </c>
      <c r="E111" s="77" t="s">
        <v>44</v>
      </c>
      <c r="F111" s="78" t="s">
        <v>45</v>
      </c>
      <c r="G111" s="79"/>
      <c r="H111" s="79"/>
      <c r="I111" s="79"/>
      <c r="J111" s="79">
        <f t="shared" si="40"/>
        <v>0</v>
      </c>
      <c r="K111" s="80">
        <f ca="1">IFERROR(__xludf.DUMMYFUNCTION("iferror(IF($D111=""한국"",GOOGLEFINANCE($E111),""""),)"),52000)</f>
        <v>52000</v>
      </c>
      <c r="L111" s="81">
        <f t="shared" ca="1" si="41"/>
        <v>0</v>
      </c>
      <c r="M111" s="81">
        <f t="shared" ca="1" si="42"/>
        <v>0</v>
      </c>
      <c r="N111" s="82" t="e">
        <f t="shared" ca="1" si="43"/>
        <v>#DIV/0!</v>
      </c>
      <c r="O111" s="26"/>
    </row>
    <row r="112" spans="1:15" ht="17.25" customHeight="1">
      <c r="B112" s="163"/>
      <c r="C112" s="163"/>
      <c r="D112" s="11" t="s">
        <v>13</v>
      </c>
      <c r="E112" s="12" t="s">
        <v>26</v>
      </c>
      <c r="F112" s="42" t="s">
        <v>27</v>
      </c>
      <c r="G112" s="14">
        <v>3</v>
      </c>
      <c r="H112" s="15">
        <v>12960</v>
      </c>
      <c r="I112" s="16"/>
      <c r="J112" s="16">
        <f t="shared" si="40"/>
        <v>38880</v>
      </c>
      <c r="K112" s="17">
        <f ca="1">IFERROR(__xludf.DUMMYFUNCTION("INDEX(IMPORTXML(""https://finance.naver.com/item/main.naver?code=0177R0"",""//p[@class='no_today']/em/span""),1)"),15610)</f>
        <v>15610</v>
      </c>
      <c r="L112" s="18">
        <f t="shared" ca="1" si="41"/>
        <v>46830</v>
      </c>
      <c r="M112" s="18">
        <f t="shared" ca="1" si="42"/>
        <v>7950</v>
      </c>
      <c r="N112" s="43">
        <f t="shared" ca="1" si="43"/>
        <v>0.2044753086419753</v>
      </c>
      <c r="O112" s="23"/>
    </row>
    <row r="113" spans="2:15" ht="17.25" customHeight="1">
      <c r="B113" s="163"/>
      <c r="C113" s="171"/>
      <c r="O113" s="27"/>
    </row>
    <row r="114" spans="2:15" ht="17.25" customHeight="1">
      <c r="B114" s="44" t="s">
        <v>24</v>
      </c>
      <c r="C114" s="45"/>
      <c r="D114" s="45"/>
      <c r="E114" s="45"/>
      <c r="F114" s="46"/>
      <c r="G114" s="47"/>
      <c r="H114" s="47"/>
      <c r="I114" s="48"/>
      <c r="J114" s="48">
        <f>SUM(J109:J112)</f>
        <v>55461918</v>
      </c>
      <c r="K114" s="54"/>
      <c r="L114" s="39">
        <f ca="1">SUM(L109:L112)</f>
        <v>86488665</v>
      </c>
      <c r="M114" s="40">
        <f ca="1">L114-C109</f>
        <v>59488665</v>
      </c>
      <c r="N114" s="41">
        <f ca="1">(L114-C109)/C109</f>
        <v>2.203283888888889</v>
      </c>
      <c r="O114" s="20"/>
    </row>
    <row r="115" spans="2:15" ht="17.25" customHeight="1">
      <c r="K115" s="1"/>
      <c r="N115" s="1"/>
      <c r="O115" s="2"/>
    </row>
    <row r="116" spans="2:15" ht="17.25" customHeight="1">
      <c r="B116" s="130"/>
      <c r="K116" s="1"/>
      <c r="N116" s="1"/>
      <c r="O116" s="2"/>
    </row>
    <row r="117" spans="2:15" ht="17.25" customHeight="1">
      <c r="D117" s="119"/>
      <c r="E117" s="119"/>
      <c r="K117" s="131"/>
      <c r="L117" s="116"/>
      <c r="M117" s="116"/>
      <c r="N117" s="1"/>
      <c r="O117" s="2"/>
    </row>
    <row r="118" spans="2:15" ht="17.25" customHeight="1">
      <c r="B118" s="10" t="s">
        <v>67</v>
      </c>
      <c r="C118" s="5" t="s">
        <v>68</v>
      </c>
      <c r="D118" s="132"/>
      <c r="E118" s="133" t="s">
        <v>69</v>
      </c>
      <c r="F118" s="133" t="s">
        <v>70</v>
      </c>
      <c r="G118" s="134" t="s">
        <v>71</v>
      </c>
      <c r="K118" s="131"/>
      <c r="L118" s="116"/>
      <c r="M118" s="116"/>
      <c r="N118" s="1"/>
      <c r="O118" s="2"/>
    </row>
    <row r="119" spans="2:15" ht="17.25" customHeight="1">
      <c r="B119" s="135" t="s">
        <v>32</v>
      </c>
      <c r="C119" s="136" t="s">
        <v>72</v>
      </c>
      <c r="D119" s="137"/>
      <c r="E119" s="138">
        <f t="shared" ref="E119:E137" si="44">SUMIF(E$5:E$102,$B119,G$5:G$102)</f>
        <v>3</v>
      </c>
      <c r="F119" s="138">
        <f t="shared" ref="F119:F124" si="45">IFERROR(
 SUMPRODUCT(
  (E$5:E$102=$B119) *
  (G$5:G$102) *
  (H$5:H$102)
 )
 /
 SUMPRODUCT(
  (E$5:E$102=$B119) *
  (G$5:G$102)
 ),
0)</f>
        <v>19187</v>
      </c>
      <c r="G119" s="139"/>
      <c r="H119" s="140"/>
      <c r="K119" s="1"/>
      <c r="N119" s="1"/>
      <c r="O119" s="2"/>
    </row>
    <row r="120" spans="2:15" ht="17.25" customHeight="1">
      <c r="B120" s="135" t="s">
        <v>73</v>
      </c>
      <c r="C120" s="136" t="s">
        <v>74</v>
      </c>
      <c r="D120" s="137"/>
      <c r="E120" s="138">
        <f t="shared" si="44"/>
        <v>0</v>
      </c>
      <c r="F120" s="138">
        <f t="shared" si="45"/>
        <v>0</v>
      </c>
      <c r="G120" s="139"/>
      <c r="H120" s="140"/>
      <c r="K120" s="1"/>
      <c r="N120" s="1"/>
      <c r="O120" s="2"/>
    </row>
    <row r="121" spans="2:15" ht="17.25" customHeight="1">
      <c r="B121" s="12" t="s">
        <v>20</v>
      </c>
      <c r="C121" s="141" t="s">
        <v>75</v>
      </c>
      <c r="D121" s="142"/>
      <c r="E121" s="143">
        <f t="shared" si="44"/>
        <v>13</v>
      </c>
      <c r="F121" s="101">
        <f t="shared" si="45"/>
        <v>10836.692307692309</v>
      </c>
      <c r="G121" s="144"/>
      <c r="H121" s="140"/>
      <c r="K121" s="1"/>
      <c r="N121" s="1"/>
      <c r="O121" s="2"/>
    </row>
    <row r="122" spans="2:15" ht="17.25" customHeight="1">
      <c r="B122" s="12" t="s">
        <v>16</v>
      </c>
      <c r="C122" s="141" t="s">
        <v>17</v>
      </c>
      <c r="D122" s="142"/>
      <c r="E122" s="143">
        <f t="shared" si="44"/>
        <v>9182</v>
      </c>
      <c r="F122" s="101">
        <f t="shared" si="45"/>
        <v>11552.798627749946</v>
      </c>
      <c r="G122" s="144"/>
      <c r="H122" s="140"/>
      <c r="K122" s="1"/>
      <c r="N122" s="1"/>
      <c r="O122" s="2"/>
    </row>
    <row r="123" spans="2:15" ht="17.25" customHeight="1">
      <c r="B123" s="12" t="s">
        <v>52</v>
      </c>
      <c r="C123" s="141" t="s">
        <v>53</v>
      </c>
      <c r="D123" s="142"/>
      <c r="E123" s="143">
        <f t="shared" si="44"/>
        <v>0</v>
      </c>
      <c r="F123" s="145">
        <f t="shared" si="45"/>
        <v>0</v>
      </c>
      <c r="G123" s="144"/>
      <c r="H123" s="146"/>
      <c r="K123" s="1"/>
      <c r="N123" s="1"/>
      <c r="O123" s="2"/>
    </row>
    <row r="124" spans="2:15" ht="17.25" customHeight="1">
      <c r="B124" s="12" t="s">
        <v>76</v>
      </c>
      <c r="C124" s="141" t="s">
        <v>77</v>
      </c>
      <c r="D124" s="142"/>
      <c r="E124" s="143">
        <f t="shared" si="44"/>
        <v>0</v>
      </c>
      <c r="F124" s="145">
        <f t="shared" si="45"/>
        <v>0</v>
      </c>
      <c r="G124" s="144"/>
      <c r="H124" s="146"/>
      <c r="K124" s="1"/>
      <c r="N124" s="1"/>
      <c r="O124" s="2"/>
    </row>
    <row r="125" spans="2:15" ht="17.25" customHeight="1">
      <c r="B125" s="12" t="s">
        <v>78</v>
      </c>
      <c r="C125" s="141" t="s">
        <v>79</v>
      </c>
      <c r="D125" s="142"/>
      <c r="E125" s="143">
        <f t="shared" si="44"/>
        <v>0</v>
      </c>
      <c r="F125" s="101" t="e">
        <f>AVERAGEIF(E$5:E$102,$B125,H$5:H$102)</f>
        <v>#DIV/0!</v>
      </c>
      <c r="G125" s="147"/>
      <c r="H125" s="146"/>
      <c r="K125" s="1"/>
      <c r="N125" s="1"/>
      <c r="O125" s="2"/>
    </row>
    <row r="126" spans="2:15" ht="17.25" customHeight="1">
      <c r="B126" s="12" t="s">
        <v>26</v>
      </c>
      <c r="C126" s="141" t="s">
        <v>27</v>
      </c>
      <c r="D126" s="142"/>
      <c r="E126" s="143">
        <f t="shared" si="44"/>
        <v>27</v>
      </c>
      <c r="F126" s="101">
        <f t="shared" ref="F126:F132" si="46">IFERROR(
 SUMPRODUCT(
  (E$5:E$102=$B126) *
  (G$5:G$102) *
  (H$5:H$102)
 )
 /
 SUMPRODUCT(
  (E$5:E$102=$B126) *
  (G$5:G$102)
 ),
0)</f>
        <v>12959.185185185184</v>
      </c>
      <c r="G126" s="148"/>
      <c r="H126" s="140"/>
      <c r="K126" s="1"/>
      <c r="N126" s="1"/>
      <c r="O126" s="2"/>
    </row>
    <row r="127" spans="2:15" ht="17.25" customHeight="1">
      <c r="B127" s="12" t="s">
        <v>35</v>
      </c>
      <c r="C127" s="141" t="s">
        <v>36</v>
      </c>
      <c r="D127" s="142"/>
      <c r="E127" s="143">
        <f t="shared" si="44"/>
        <v>4217</v>
      </c>
      <c r="F127" s="101">
        <f t="shared" si="46"/>
        <v>34009.521460754091</v>
      </c>
      <c r="G127" s="148"/>
      <c r="H127" s="140"/>
      <c r="K127" s="1"/>
      <c r="N127" s="1"/>
      <c r="O127" s="2"/>
    </row>
    <row r="128" spans="2:15" ht="17.25" customHeight="1">
      <c r="B128" s="12" t="s">
        <v>80</v>
      </c>
      <c r="C128" s="141" t="s">
        <v>81</v>
      </c>
      <c r="D128" s="142"/>
      <c r="E128" s="143">
        <f t="shared" si="44"/>
        <v>0</v>
      </c>
      <c r="F128" s="101">
        <f t="shared" si="46"/>
        <v>0</v>
      </c>
      <c r="G128" s="149"/>
      <c r="H128" s="146"/>
      <c r="K128" s="1"/>
      <c r="N128" s="1"/>
      <c r="O128" s="2"/>
    </row>
    <row r="129" spans="2:15" ht="17.25" customHeight="1">
      <c r="B129" s="12" t="s">
        <v>37</v>
      </c>
      <c r="C129" s="150" t="s">
        <v>38</v>
      </c>
      <c r="D129" s="151"/>
      <c r="E129" s="143">
        <f t="shared" si="44"/>
        <v>1</v>
      </c>
      <c r="F129" s="101">
        <f t="shared" si="46"/>
        <v>29680</v>
      </c>
      <c r="G129" s="152"/>
      <c r="H129" s="140"/>
      <c r="K129" s="1"/>
      <c r="N129" s="1"/>
      <c r="O129" s="2"/>
    </row>
    <row r="130" spans="2:15" ht="17.25" customHeight="1">
      <c r="B130" s="12" t="s">
        <v>82</v>
      </c>
      <c r="C130" s="153" t="s">
        <v>83</v>
      </c>
      <c r="D130" s="154"/>
      <c r="E130" s="143">
        <f t="shared" si="44"/>
        <v>0</v>
      </c>
      <c r="F130" s="101">
        <f t="shared" si="46"/>
        <v>0</v>
      </c>
      <c r="G130" s="152"/>
      <c r="H130" s="146"/>
      <c r="K130" s="1"/>
      <c r="N130" s="1"/>
      <c r="O130" s="2"/>
    </row>
    <row r="131" spans="2:15" ht="17.25" customHeight="1">
      <c r="B131" s="12" t="s">
        <v>48</v>
      </c>
      <c r="C131" s="155" t="s">
        <v>49</v>
      </c>
      <c r="D131" s="156"/>
      <c r="E131" s="143">
        <f t="shared" si="44"/>
        <v>1034</v>
      </c>
      <c r="F131" s="101">
        <f t="shared" si="46"/>
        <v>22986.302707930368</v>
      </c>
      <c r="G131" s="56"/>
      <c r="H131" s="146"/>
      <c r="K131" s="1"/>
      <c r="N131" s="1"/>
      <c r="O131" s="2"/>
    </row>
    <row r="132" spans="2:15" ht="17.25" customHeight="1">
      <c r="B132" s="12" t="s">
        <v>22</v>
      </c>
      <c r="C132" s="141" t="s">
        <v>23</v>
      </c>
      <c r="D132" s="142"/>
      <c r="E132" s="143">
        <f t="shared" si="44"/>
        <v>1</v>
      </c>
      <c r="F132" s="101">
        <f t="shared" si="46"/>
        <v>11005</v>
      </c>
      <c r="G132" s="56"/>
      <c r="H132" s="140"/>
      <c r="K132" s="1"/>
      <c r="N132" s="1"/>
      <c r="O132" s="2"/>
    </row>
    <row r="133" spans="2:15" ht="17.25" customHeight="1">
      <c r="B133" s="12">
        <v>494310</v>
      </c>
      <c r="C133" s="153" t="s">
        <v>84</v>
      </c>
      <c r="D133" s="154"/>
      <c r="E133" s="143">
        <f t="shared" si="44"/>
        <v>0</v>
      </c>
      <c r="F133" s="101">
        <v>140091</v>
      </c>
      <c r="G133" s="101"/>
      <c r="K133" s="1"/>
      <c r="N133" s="1"/>
      <c r="O133" s="2"/>
    </row>
    <row r="134" spans="2:15" ht="17.25" customHeight="1">
      <c r="B134" s="12" t="s">
        <v>46</v>
      </c>
      <c r="C134" s="83" t="s">
        <v>47</v>
      </c>
      <c r="D134" s="154"/>
      <c r="E134" s="143">
        <f t="shared" si="44"/>
        <v>2</v>
      </c>
      <c r="F134" s="101">
        <f t="shared" ref="F134:F137" si="47">IFERROR(
 SUMPRODUCT(
  (E$5:E$102=$B134) *
  (G$5:G$102) *
  (H$5:H$102)
 )
 /
 SUMPRODUCT(
  (E$5:E$102=$B134) *
  (G$5:G$102)
 ),
0)</f>
        <v>10332</v>
      </c>
      <c r="G134" s="152"/>
      <c r="K134" s="1"/>
      <c r="N134" s="1"/>
      <c r="O134" s="2"/>
    </row>
    <row r="135" spans="2:15" ht="17.25" customHeight="1">
      <c r="B135" s="12" t="s">
        <v>14</v>
      </c>
      <c r="C135" s="13" t="s">
        <v>15</v>
      </c>
      <c r="D135" s="156"/>
      <c r="E135" s="143">
        <f t="shared" si="44"/>
        <v>5132</v>
      </c>
      <c r="F135" s="101">
        <f t="shared" si="47"/>
        <v>117618.05300077943</v>
      </c>
      <c r="G135" s="56"/>
      <c r="K135" s="1"/>
      <c r="N135" s="1"/>
      <c r="O135" s="2"/>
    </row>
    <row r="136" spans="2:15" ht="17.25" customHeight="1">
      <c r="B136" s="12" t="s">
        <v>61</v>
      </c>
      <c r="C136" s="56" t="s">
        <v>62</v>
      </c>
      <c r="D136" s="56"/>
      <c r="E136" s="143">
        <f t="shared" si="44"/>
        <v>8</v>
      </c>
      <c r="F136" s="101">
        <f t="shared" si="47"/>
        <v>26335</v>
      </c>
      <c r="G136" s="56"/>
      <c r="K136" s="1"/>
      <c r="N136" s="1"/>
      <c r="O136" s="2"/>
    </row>
    <row r="137" spans="2:15" ht="17.25" customHeight="1">
      <c r="B137" s="12" t="s">
        <v>44</v>
      </c>
      <c r="C137" s="56" t="s">
        <v>45</v>
      </c>
      <c r="D137" s="56"/>
      <c r="E137" s="143">
        <f t="shared" si="44"/>
        <v>0</v>
      </c>
      <c r="F137" s="101">
        <f t="shared" si="47"/>
        <v>0</v>
      </c>
      <c r="G137" s="56"/>
      <c r="K137" s="1"/>
      <c r="N137" s="1"/>
      <c r="O137" s="2"/>
    </row>
    <row r="138" spans="2:15" ht="17.25" customHeight="1">
      <c r="B138" s="56"/>
      <c r="C138" s="56"/>
      <c r="D138" s="56"/>
      <c r="E138" s="56"/>
      <c r="F138" s="56"/>
      <c r="G138" s="56"/>
      <c r="K138" s="1"/>
      <c r="N138" s="1"/>
      <c r="O138" s="2"/>
    </row>
    <row r="139" spans="2:15" ht="17.25" customHeight="1">
      <c r="B139" s="56"/>
      <c r="C139" s="56"/>
      <c r="D139" s="56"/>
      <c r="E139" s="56"/>
      <c r="F139" s="56"/>
      <c r="G139" s="56"/>
      <c r="K139" s="1"/>
      <c r="N139" s="1"/>
      <c r="O139" s="2"/>
    </row>
    <row r="140" spans="2:15" ht="17.25" customHeight="1">
      <c r="B140" s="56"/>
      <c r="C140" s="56"/>
      <c r="D140" s="56"/>
      <c r="E140" s="56"/>
      <c r="F140" s="56"/>
      <c r="G140" s="56"/>
      <c r="K140" s="1"/>
      <c r="N140" s="1"/>
      <c r="O140" s="2"/>
    </row>
    <row r="141" spans="2:15" ht="17.25" customHeight="1">
      <c r="B141" s="56"/>
      <c r="C141" s="56"/>
      <c r="D141" s="56"/>
      <c r="E141" s="56"/>
      <c r="F141" s="56"/>
      <c r="G141" s="56"/>
      <c r="K141" s="1"/>
      <c r="N141" s="1"/>
      <c r="O141" s="2"/>
    </row>
    <row r="142" spans="2:15" ht="17.25" customHeight="1">
      <c r="B142" s="56"/>
      <c r="C142" s="56"/>
      <c r="D142" s="56"/>
      <c r="E142" s="56"/>
      <c r="F142" s="56"/>
      <c r="G142" s="56"/>
      <c r="K142" s="1"/>
      <c r="N142" s="1"/>
      <c r="O142" s="2"/>
    </row>
    <row r="143" spans="2:15" ht="17.25" customHeight="1">
      <c r="K143" s="1"/>
      <c r="N143" s="1"/>
      <c r="O143" s="2"/>
    </row>
    <row r="144" spans="2:15" ht="17.25" customHeight="1">
      <c r="K144" s="1"/>
      <c r="N144" s="1"/>
      <c r="O144" s="2"/>
    </row>
    <row r="145" spans="11:15" ht="17.25" customHeight="1">
      <c r="K145" s="1"/>
      <c r="N145" s="1"/>
      <c r="O145" s="2"/>
    </row>
    <row r="146" spans="11:15" ht="17.25" customHeight="1">
      <c r="K146" s="1"/>
      <c r="N146" s="1"/>
      <c r="O146" s="2"/>
    </row>
    <row r="147" spans="11:15" ht="17.25" customHeight="1">
      <c r="K147" s="1"/>
      <c r="N147" s="1"/>
      <c r="O147" s="2"/>
    </row>
    <row r="148" spans="11:15" ht="17.25" customHeight="1">
      <c r="K148" s="1"/>
      <c r="N148" s="1"/>
      <c r="O148" s="2"/>
    </row>
    <row r="149" spans="11:15" ht="17.25" customHeight="1">
      <c r="K149" s="1"/>
      <c r="N149" s="1"/>
      <c r="O149" s="2"/>
    </row>
    <row r="150" spans="11:15" ht="17.25" customHeight="1">
      <c r="K150" s="1"/>
      <c r="N150" s="1"/>
      <c r="O150" s="2"/>
    </row>
    <row r="151" spans="11:15" ht="17.25" customHeight="1">
      <c r="K151" s="1"/>
      <c r="N151" s="1"/>
      <c r="O151" s="2"/>
    </row>
    <row r="152" spans="11:15" ht="17.25" customHeight="1">
      <c r="K152" s="1"/>
      <c r="N152" s="1"/>
      <c r="O152" s="2"/>
    </row>
    <row r="153" spans="11:15" ht="17.25" customHeight="1">
      <c r="K153" s="1"/>
      <c r="N153" s="1"/>
      <c r="O153" s="2"/>
    </row>
    <row r="154" spans="11:15" ht="17.25" customHeight="1">
      <c r="K154" s="1"/>
      <c r="N154" s="1"/>
      <c r="O154" s="2"/>
    </row>
    <row r="155" spans="11:15" ht="17.25" customHeight="1">
      <c r="K155" s="1"/>
      <c r="N155" s="1"/>
      <c r="O155" s="2"/>
    </row>
    <row r="156" spans="11:15" ht="17.25" customHeight="1">
      <c r="K156" s="1"/>
      <c r="N156" s="1"/>
      <c r="O156" s="2"/>
    </row>
    <row r="157" spans="11:15" ht="17.25" customHeight="1">
      <c r="K157" s="1"/>
      <c r="N157" s="1"/>
      <c r="O157" s="2"/>
    </row>
    <row r="158" spans="11:15" ht="17.25" customHeight="1">
      <c r="K158" s="1"/>
      <c r="N158" s="1"/>
      <c r="O158" s="2"/>
    </row>
    <row r="159" spans="11:15" ht="17.25" customHeight="1">
      <c r="K159" s="1"/>
      <c r="N159" s="1"/>
      <c r="O159" s="2"/>
    </row>
    <row r="160" spans="11:15" ht="17.25" customHeight="1">
      <c r="K160" s="1"/>
      <c r="N160" s="1"/>
      <c r="O160" s="2"/>
    </row>
    <row r="161" spans="11:15" ht="17.25" customHeight="1">
      <c r="K161" s="1"/>
      <c r="N161" s="1"/>
      <c r="O161" s="2"/>
    </row>
    <row r="162" spans="11:15" ht="17.25" customHeight="1">
      <c r="K162" s="1"/>
      <c r="N162" s="1"/>
      <c r="O162" s="2"/>
    </row>
    <row r="163" spans="11:15" ht="17.25" customHeight="1">
      <c r="K163" s="1"/>
      <c r="N163" s="1"/>
      <c r="O163" s="2"/>
    </row>
    <row r="164" spans="11:15" ht="17.25" customHeight="1">
      <c r="K164" s="1"/>
      <c r="N164" s="1"/>
      <c r="O164" s="2"/>
    </row>
    <row r="165" spans="11:15" ht="17.25" customHeight="1">
      <c r="K165" s="1"/>
      <c r="N165" s="1"/>
      <c r="O165" s="2"/>
    </row>
    <row r="166" spans="11:15" ht="17.25" customHeight="1">
      <c r="K166" s="1"/>
      <c r="N166" s="1"/>
      <c r="O166" s="2"/>
    </row>
    <row r="167" spans="11:15" ht="17.25" customHeight="1">
      <c r="K167" s="1"/>
      <c r="N167" s="1"/>
      <c r="O167" s="2"/>
    </row>
    <row r="168" spans="11:15" ht="17.25" customHeight="1">
      <c r="K168" s="1"/>
      <c r="N168" s="1"/>
      <c r="O168" s="2"/>
    </row>
    <row r="169" spans="11:15" ht="17.25" customHeight="1">
      <c r="K169" s="1"/>
      <c r="N169" s="1"/>
      <c r="O169" s="2"/>
    </row>
    <row r="170" spans="11:15" ht="17.25" customHeight="1">
      <c r="K170" s="1"/>
      <c r="N170" s="1"/>
      <c r="O170" s="2"/>
    </row>
    <row r="171" spans="11:15" ht="17.25" customHeight="1">
      <c r="K171" s="1"/>
      <c r="N171" s="1"/>
      <c r="O171" s="2"/>
    </row>
    <row r="172" spans="11:15" ht="17.25" customHeight="1">
      <c r="K172" s="1"/>
      <c r="N172" s="1"/>
      <c r="O172" s="2"/>
    </row>
    <row r="173" spans="11:15" ht="17.25" customHeight="1">
      <c r="K173" s="1"/>
      <c r="N173" s="1"/>
      <c r="O173" s="2"/>
    </row>
    <row r="174" spans="11:15" ht="17.25" customHeight="1">
      <c r="K174" s="1"/>
      <c r="N174" s="1"/>
      <c r="O174" s="2"/>
    </row>
    <row r="175" spans="11:15" ht="17.25" customHeight="1">
      <c r="K175" s="1"/>
      <c r="N175" s="1"/>
      <c r="O175" s="2"/>
    </row>
    <row r="176" spans="11:15" ht="17.25" customHeight="1">
      <c r="K176" s="1"/>
      <c r="N176" s="1"/>
      <c r="O176" s="2"/>
    </row>
    <row r="177" spans="11:15" ht="17.25" customHeight="1">
      <c r="K177" s="1"/>
      <c r="N177" s="1"/>
      <c r="O177" s="2"/>
    </row>
    <row r="178" spans="11:15" ht="17.25" customHeight="1">
      <c r="K178" s="1"/>
      <c r="N178" s="1"/>
      <c r="O178" s="2"/>
    </row>
    <row r="179" spans="11:15" ht="17.25" customHeight="1">
      <c r="K179" s="1"/>
      <c r="N179" s="1"/>
      <c r="O179" s="2"/>
    </row>
    <row r="180" spans="11:15" ht="17.25" customHeight="1">
      <c r="K180" s="1"/>
      <c r="N180" s="1"/>
      <c r="O180" s="2"/>
    </row>
    <row r="181" spans="11:15" ht="17.25" customHeight="1">
      <c r="K181" s="1"/>
      <c r="N181" s="1"/>
      <c r="O181" s="2"/>
    </row>
    <row r="182" spans="11:15" ht="17.25" customHeight="1">
      <c r="K182" s="1"/>
      <c r="N182" s="1"/>
      <c r="O182" s="2"/>
    </row>
    <row r="183" spans="11:15" ht="17.25" customHeight="1">
      <c r="K183" s="1"/>
      <c r="N183" s="1"/>
      <c r="O183" s="2"/>
    </row>
    <row r="184" spans="11:15" ht="17.25" customHeight="1">
      <c r="K184" s="1"/>
      <c r="N184" s="1"/>
      <c r="O184" s="2"/>
    </row>
    <row r="185" spans="11:15" ht="17.25" customHeight="1">
      <c r="K185" s="1"/>
      <c r="N185" s="1"/>
      <c r="O185" s="2"/>
    </row>
    <row r="186" spans="11:15" ht="17.25" customHeight="1">
      <c r="K186" s="1"/>
      <c r="N186" s="1"/>
      <c r="O186" s="2"/>
    </row>
    <row r="187" spans="11:15" ht="17.25" customHeight="1">
      <c r="K187" s="1"/>
      <c r="N187" s="1"/>
      <c r="O187" s="2"/>
    </row>
    <row r="188" spans="11:15" ht="17.25" customHeight="1">
      <c r="K188" s="1"/>
      <c r="N188" s="1"/>
      <c r="O188" s="2"/>
    </row>
    <row r="189" spans="11:15" ht="17.25" customHeight="1">
      <c r="K189" s="1"/>
      <c r="N189" s="1"/>
      <c r="O189" s="2"/>
    </row>
    <row r="190" spans="11:15" ht="17.25" customHeight="1">
      <c r="K190" s="1"/>
      <c r="N190" s="1"/>
      <c r="O190" s="2"/>
    </row>
    <row r="191" spans="11:15" ht="17.25" customHeight="1">
      <c r="K191" s="1"/>
      <c r="N191" s="1"/>
      <c r="O191" s="2"/>
    </row>
    <row r="192" spans="11:15" ht="17.25" customHeight="1">
      <c r="K192" s="1"/>
      <c r="N192" s="1"/>
      <c r="O192" s="2"/>
    </row>
    <row r="193" spans="11:15" ht="17.25" customHeight="1">
      <c r="K193" s="1"/>
      <c r="N193" s="1"/>
      <c r="O193" s="2"/>
    </row>
    <row r="194" spans="11:15" ht="17.25" customHeight="1">
      <c r="K194" s="1"/>
      <c r="N194" s="1"/>
      <c r="O194" s="2"/>
    </row>
    <row r="195" spans="11:15" ht="17.25" customHeight="1">
      <c r="K195" s="1"/>
      <c r="N195" s="1"/>
      <c r="O195" s="2"/>
    </row>
    <row r="196" spans="11:15" ht="17.25" customHeight="1">
      <c r="K196" s="1"/>
      <c r="N196" s="1"/>
      <c r="O196" s="2"/>
    </row>
    <row r="197" spans="11:15" ht="17.25" customHeight="1">
      <c r="K197" s="1"/>
      <c r="N197" s="1"/>
      <c r="O197" s="2"/>
    </row>
    <row r="198" spans="11:15" ht="17.25" customHeight="1">
      <c r="K198" s="1"/>
      <c r="N198" s="1"/>
      <c r="O198" s="2"/>
    </row>
    <row r="199" spans="11:15" ht="17.25" customHeight="1">
      <c r="K199" s="1"/>
      <c r="N199" s="1"/>
      <c r="O199" s="2"/>
    </row>
    <row r="200" spans="11:15" ht="17.25" customHeight="1">
      <c r="K200" s="1"/>
      <c r="N200" s="1"/>
      <c r="O200" s="2"/>
    </row>
    <row r="201" spans="11:15" ht="17.25" customHeight="1">
      <c r="K201" s="1"/>
      <c r="N201" s="1"/>
      <c r="O201" s="2"/>
    </row>
    <row r="202" spans="11:15" ht="17.25" customHeight="1">
      <c r="K202" s="1"/>
      <c r="N202" s="1"/>
      <c r="O202" s="2"/>
    </row>
    <row r="203" spans="11:15" ht="17.25" customHeight="1">
      <c r="K203" s="1"/>
      <c r="N203" s="1"/>
      <c r="O203" s="2"/>
    </row>
    <row r="204" spans="11:15" ht="17.25" customHeight="1">
      <c r="K204" s="1"/>
      <c r="N204" s="1"/>
      <c r="O204" s="2"/>
    </row>
    <row r="205" spans="11:15" ht="17.25" customHeight="1">
      <c r="K205" s="1"/>
      <c r="N205" s="1"/>
      <c r="O205" s="2"/>
    </row>
    <row r="206" spans="11:15" ht="17.25" customHeight="1">
      <c r="K206" s="1"/>
      <c r="N206" s="1"/>
      <c r="O206" s="2"/>
    </row>
    <row r="207" spans="11:15" ht="17.25" customHeight="1">
      <c r="K207" s="1"/>
      <c r="N207" s="1"/>
      <c r="O207" s="2"/>
    </row>
    <row r="208" spans="11:15" ht="17.25" customHeight="1">
      <c r="K208" s="1"/>
      <c r="N208" s="1"/>
      <c r="O208" s="2"/>
    </row>
    <row r="209" spans="11:15" ht="17.25" customHeight="1">
      <c r="K209" s="1"/>
      <c r="N209" s="1"/>
      <c r="O209" s="2"/>
    </row>
    <row r="210" spans="11:15" ht="17.25" customHeight="1">
      <c r="K210" s="1"/>
      <c r="N210" s="1"/>
      <c r="O210" s="2"/>
    </row>
    <row r="211" spans="11:15" ht="17.25" customHeight="1">
      <c r="K211" s="1"/>
      <c r="N211" s="1"/>
      <c r="O211" s="2"/>
    </row>
    <row r="212" spans="11:15" ht="17.25" customHeight="1">
      <c r="K212" s="1"/>
      <c r="N212" s="1"/>
      <c r="O212" s="2"/>
    </row>
    <row r="213" spans="11:15" ht="17.25" customHeight="1">
      <c r="K213" s="1"/>
      <c r="N213" s="1"/>
      <c r="O213" s="2"/>
    </row>
    <row r="214" spans="11:15" ht="17.25" customHeight="1">
      <c r="K214" s="1"/>
      <c r="N214" s="1"/>
      <c r="O214" s="2"/>
    </row>
    <row r="215" spans="11:15" ht="17.25" customHeight="1">
      <c r="K215" s="1"/>
      <c r="N215" s="1"/>
      <c r="O215" s="2"/>
    </row>
    <row r="216" spans="11:15" ht="17.25" customHeight="1">
      <c r="K216" s="1"/>
      <c r="N216" s="1"/>
      <c r="O216" s="2"/>
    </row>
    <row r="217" spans="11:15" ht="17.25" customHeight="1">
      <c r="K217" s="1"/>
      <c r="N217" s="1"/>
      <c r="O217" s="2"/>
    </row>
    <row r="218" spans="11:15" ht="17.25" customHeight="1">
      <c r="K218" s="1"/>
      <c r="N218" s="1"/>
      <c r="O218" s="2"/>
    </row>
    <row r="219" spans="11:15" ht="17.25" customHeight="1">
      <c r="K219" s="1"/>
      <c r="N219" s="1"/>
      <c r="O219" s="2"/>
    </row>
    <row r="220" spans="11:15" ht="17.25" customHeight="1">
      <c r="K220" s="1"/>
      <c r="N220" s="1"/>
      <c r="O220" s="2"/>
    </row>
    <row r="221" spans="11:15" ht="17.25" customHeight="1">
      <c r="K221" s="1"/>
      <c r="N221" s="1"/>
      <c r="O221" s="2"/>
    </row>
    <row r="222" spans="11:15" ht="17.25" customHeight="1">
      <c r="K222" s="1"/>
      <c r="N222" s="1"/>
      <c r="O222" s="2"/>
    </row>
    <row r="223" spans="11:15" ht="17.25" customHeight="1">
      <c r="K223" s="1"/>
      <c r="N223" s="1"/>
      <c r="O223" s="2"/>
    </row>
    <row r="224" spans="11:15" ht="17.25" customHeight="1">
      <c r="K224" s="1"/>
      <c r="N224" s="1"/>
      <c r="O224" s="2"/>
    </row>
    <row r="225" spans="11:15" ht="17.25" customHeight="1">
      <c r="K225" s="1"/>
      <c r="N225" s="1"/>
      <c r="O225" s="2"/>
    </row>
    <row r="226" spans="11:15" ht="17.25" customHeight="1">
      <c r="K226" s="1"/>
      <c r="N226" s="1"/>
      <c r="O226" s="2"/>
    </row>
    <row r="227" spans="11:15" ht="17.25" customHeight="1">
      <c r="K227" s="1"/>
      <c r="N227" s="1"/>
      <c r="O227" s="2"/>
    </row>
    <row r="228" spans="11:15" ht="17.25" customHeight="1">
      <c r="K228" s="1"/>
      <c r="N228" s="1"/>
      <c r="O228" s="2"/>
    </row>
    <row r="229" spans="11:15" ht="17.25" customHeight="1">
      <c r="K229" s="1"/>
      <c r="N229" s="1"/>
      <c r="O229" s="2"/>
    </row>
    <row r="230" spans="11:15" ht="17.25" customHeight="1">
      <c r="K230" s="1"/>
      <c r="N230" s="1"/>
      <c r="O230" s="2"/>
    </row>
    <row r="231" spans="11:15" ht="17.25" customHeight="1">
      <c r="K231" s="1"/>
      <c r="N231" s="1"/>
      <c r="O231" s="2"/>
    </row>
    <row r="232" spans="11:15" ht="17.25" customHeight="1">
      <c r="K232" s="1"/>
      <c r="N232" s="1"/>
      <c r="O232" s="2"/>
    </row>
    <row r="233" spans="11:15" ht="17.25" customHeight="1">
      <c r="K233" s="1"/>
      <c r="N233" s="1"/>
      <c r="O233" s="2"/>
    </row>
    <row r="234" spans="11:15" ht="17.25" customHeight="1">
      <c r="K234" s="1"/>
      <c r="N234" s="1"/>
      <c r="O234" s="2"/>
    </row>
    <row r="235" spans="11:15" ht="17.25" customHeight="1">
      <c r="K235" s="1"/>
      <c r="N235" s="1"/>
      <c r="O235" s="2"/>
    </row>
    <row r="236" spans="11:15" ht="17.25" customHeight="1">
      <c r="K236" s="1"/>
      <c r="N236" s="1"/>
      <c r="O236" s="2"/>
    </row>
    <row r="237" spans="11:15" ht="17.25" customHeight="1">
      <c r="K237" s="1"/>
      <c r="N237" s="1"/>
      <c r="O237" s="2"/>
    </row>
    <row r="238" spans="11:15" ht="17.25" customHeight="1">
      <c r="K238" s="1"/>
      <c r="N238" s="1"/>
      <c r="O238" s="2"/>
    </row>
    <row r="239" spans="11:15" ht="17.25" customHeight="1">
      <c r="K239" s="1"/>
      <c r="N239" s="1"/>
      <c r="O239" s="2"/>
    </row>
    <row r="240" spans="11:15" ht="17.25" customHeight="1">
      <c r="K240" s="1"/>
      <c r="N240" s="1"/>
      <c r="O240" s="2"/>
    </row>
    <row r="241" spans="11:15" ht="17.25" customHeight="1">
      <c r="K241" s="1"/>
      <c r="N241" s="1"/>
      <c r="O241" s="2"/>
    </row>
    <row r="242" spans="11:15" ht="17.25" customHeight="1">
      <c r="K242" s="1"/>
      <c r="N242" s="1"/>
      <c r="O242" s="2"/>
    </row>
    <row r="243" spans="11:15" ht="17.25" customHeight="1">
      <c r="K243" s="1"/>
      <c r="N243" s="1"/>
      <c r="O243" s="2"/>
    </row>
    <row r="244" spans="11:15" ht="17.25" customHeight="1">
      <c r="K244" s="1"/>
      <c r="N244" s="1"/>
      <c r="O244" s="2"/>
    </row>
    <row r="245" spans="11:15" ht="17.25" customHeight="1">
      <c r="K245" s="1"/>
      <c r="N245" s="1"/>
      <c r="O245" s="2"/>
    </row>
    <row r="246" spans="11:15" ht="17.25" customHeight="1">
      <c r="K246" s="1"/>
      <c r="N246" s="1"/>
      <c r="O246" s="2"/>
    </row>
    <row r="247" spans="11:15" ht="17.25" customHeight="1">
      <c r="K247" s="1"/>
      <c r="N247" s="1"/>
      <c r="O247" s="2"/>
    </row>
    <row r="248" spans="11:15" ht="17.25" customHeight="1">
      <c r="K248" s="1"/>
      <c r="N248" s="1"/>
      <c r="O248" s="2"/>
    </row>
    <row r="249" spans="11:15" ht="17.25" customHeight="1">
      <c r="K249" s="1"/>
      <c r="N249" s="1"/>
      <c r="O249" s="2"/>
    </row>
    <row r="250" spans="11:15" ht="17.25" customHeight="1">
      <c r="K250" s="1"/>
      <c r="N250" s="1"/>
      <c r="O250" s="2"/>
    </row>
    <row r="251" spans="11:15" ht="17.25" customHeight="1">
      <c r="K251" s="1"/>
      <c r="N251" s="1"/>
      <c r="O251" s="2"/>
    </row>
    <row r="252" spans="11:15" ht="17.25" customHeight="1">
      <c r="K252" s="1"/>
      <c r="N252" s="1"/>
      <c r="O252" s="2"/>
    </row>
    <row r="253" spans="11:15" ht="17.25" customHeight="1">
      <c r="K253" s="1"/>
      <c r="N253" s="1"/>
      <c r="O253" s="2"/>
    </row>
    <row r="254" spans="11:15" ht="17.25" customHeight="1">
      <c r="K254" s="1"/>
      <c r="N254" s="1"/>
      <c r="O254" s="2"/>
    </row>
    <row r="255" spans="11:15" ht="17.25" customHeight="1">
      <c r="K255" s="1"/>
      <c r="N255" s="1"/>
      <c r="O255" s="2"/>
    </row>
    <row r="256" spans="11:15" ht="17.25" customHeight="1">
      <c r="K256" s="1"/>
      <c r="N256" s="1"/>
      <c r="O256" s="2"/>
    </row>
    <row r="257" spans="11:15" ht="17.25" customHeight="1">
      <c r="K257" s="1"/>
      <c r="N257" s="1"/>
      <c r="O257" s="2"/>
    </row>
    <row r="258" spans="11:15" ht="17.25" customHeight="1">
      <c r="K258" s="1"/>
      <c r="N258" s="1"/>
      <c r="O258" s="2"/>
    </row>
    <row r="259" spans="11:15" ht="17.25" customHeight="1">
      <c r="K259" s="1"/>
      <c r="N259" s="1"/>
      <c r="O259" s="2"/>
    </row>
    <row r="260" spans="11:15" ht="17.25" customHeight="1">
      <c r="K260" s="1"/>
      <c r="N260" s="1"/>
      <c r="O260" s="2"/>
    </row>
    <row r="261" spans="11:15" ht="17.25" customHeight="1">
      <c r="K261" s="1"/>
      <c r="N261" s="1"/>
      <c r="O261" s="2"/>
    </row>
    <row r="262" spans="11:15" ht="17.25" customHeight="1">
      <c r="K262" s="1"/>
      <c r="N262" s="1"/>
      <c r="O262" s="2"/>
    </row>
    <row r="263" spans="11:15" ht="17.25" customHeight="1">
      <c r="K263" s="1"/>
      <c r="N263" s="1"/>
      <c r="O263" s="2"/>
    </row>
    <row r="264" spans="11:15" ht="17.25" customHeight="1">
      <c r="K264" s="1"/>
      <c r="N264" s="1"/>
      <c r="O264" s="2"/>
    </row>
    <row r="265" spans="11:15" ht="17.25" customHeight="1">
      <c r="K265" s="1"/>
      <c r="N265" s="1"/>
      <c r="O265" s="2"/>
    </row>
    <row r="266" spans="11:15" ht="17.25" customHeight="1">
      <c r="K266" s="1"/>
      <c r="N266" s="1"/>
      <c r="O266" s="2"/>
    </row>
    <row r="267" spans="11:15" ht="17.25" customHeight="1">
      <c r="K267" s="1"/>
      <c r="N267" s="1"/>
      <c r="O267" s="2"/>
    </row>
    <row r="268" spans="11:15" ht="17.25" customHeight="1">
      <c r="K268" s="1"/>
      <c r="N268" s="1"/>
      <c r="O268" s="2"/>
    </row>
    <row r="269" spans="11:15" ht="17.25" customHeight="1">
      <c r="K269" s="1"/>
      <c r="N269" s="1"/>
      <c r="O269" s="2"/>
    </row>
    <row r="270" spans="11:15" ht="17.25" customHeight="1">
      <c r="K270" s="1"/>
      <c r="N270" s="1"/>
      <c r="O270" s="2"/>
    </row>
    <row r="271" spans="11:15" ht="17.25" customHeight="1">
      <c r="K271" s="1"/>
      <c r="N271" s="1"/>
      <c r="O271" s="2"/>
    </row>
    <row r="272" spans="11:15" ht="17.25" customHeight="1">
      <c r="K272" s="1"/>
      <c r="N272" s="1"/>
      <c r="O272" s="2"/>
    </row>
    <row r="273" spans="11:15" ht="17.25" customHeight="1">
      <c r="K273" s="1"/>
      <c r="N273" s="1"/>
      <c r="O273" s="2"/>
    </row>
    <row r="274" spans="11:15" ht="17.25" customHeight="1">
      <c r="K274" s="1"/>
      <c r="N274" s="1"/>
      <c r="O274" s="2"/>
    </row>
    <row r="275" spans="11:15" ht="17.25" customHeight="1">
      <c r="K275" s="1"/>
      <c r="N275" s="1"/>
      <c r="O275" s="2"/>
    </row>
    <row r="276" spans="11:15" ht="17.25" customHeight="1">
      <c r="K276" s="1"/>
      <c r="N276" s="1"/>
      <c r="O276" s="2"/>
    </row>
    <row r="277" spans="11:15" ht="17.25" customHeight="1">
      <c r="K277" s="1"/>
      <c r="N277" s="1"/>
      <c r="O277" s="2"/>
    </row>
    <row r="278" spans="11:15" ht="17.25" customHeight="1">
      <c r="K278" s="1"/>
      <c r="N278" s="1"/>
      <c r="O278" s="2"/>
    </row>
    <row r="279" spans="11:15" ht="17.25" customHeight="1">
      <c r="K279" s="1"/>
      <c r="N279" s="1"/>
      <c r="O279" s="2"/>
    </row>
    <row r="280" spans="11:15" ht="17.25" customHeight="1">
      <c r="K280" s="1"/>
      <c r="N280" s="1"/>
      <c r="O280" s="2"/>
    </row>
    <row r="281" spans="11:15" ht="17.25" customHeight="1">
      <c r="K281" s="1"/>
      <c r="N281" s="1"/>
      <c r="O281" s="2"/>
    </row>
    <row r="282" spans="11:15" ht="17.25" customHeight="1">
      <c r="K282" s="1"/>
      <c r="N282" s="1"/>
      <c r="O282" s="2"/>
    </row>
    <row r="283" spans="11:15" ht="17.25" customHeight="1">
      <c r="K283" s="1"/>
      <c r="N283" s="1"/>
      <c r="O283" s="2"/>
    </row>
    <row r="284" spans="11:15" ht="17.25" customHeight="1">
      <c r="K284" s="1"/>
      <c r="N284" s="1"/>
      <c r="O284" s="2"/>
    </row>
    <row r="285" spans="11:15" ht="17.25" customHeight="1">
      <c r="K285" s="1"/>
      <c r="N285" s="1"/>
      <c r="O285" s="2"/>
    </row>
    <row r="286" spans="11:15" ht="17.25" customHeight="1">
      <c r="K286" s="1"/>
      <c r="N286" s="1"/>
      <c r="O286" s="2"/>
    </row>
    <row r="287" spans="11:15" ht="17.25" customHeight="1">
      <c r="K287" s="1"/>
      <c r="N287" s="1"/>
      <c r="O287" s="2"/>
    </row>
    <row r="288" spans="11:15" ht="17.25" customHeight="1">
      <c r="K288" s="1"/>
      <c r="N288" s="1"/>
      <c r="O288" s="2"/>
    </row>
    <row r="289" spans="11:15" ht="17.25" customHeight="1">
      <c r="K289" s="1"/>
      <c r="N289" s="1"/>
      <c r="O289" s="2"/>
    </row>
    <row r="290" spans="11:15" ht="17.25" customHeight="1">
      <c r="K290" s="1"/>
      <c r="N290" s="1"/>
      <c r="O290" s="2"/>
    </row>
    <row r="291" spans="11:15" ht="17.25" customHeight="1">
      <c r="K291" s="1"/>
      <c r="N291" s="1"/>
      <c r="O291" s="2"/>
    </row>
    <row r="292" spans="11:15" ht="17.25" customHeight="1">
      <c r="K292" s="1"/>
      <c r="N292" s="1"/>
      <c r="O292" s="2"/>
    </row>
    <row r="293" spans="11:15" ht="17.25" customHeight="1">
      <c r="K293" s="1"/>
      <c r="N293" s="1"/>
      <c r="O293" s="2"/>
    </row>
    <row r="294" spans="11:15" ht="17.25" customHeight="1">
      <c r="K294" s="1"/>
      <c r="N294" s="1"/>
      <c r="O294" s="2"/>
    </row>
    <row r="295" spans="11:15" ht="17.25" customHeight="1">
      <c r="K295" s="1"/>
      <c r="N295" s="1"/>
      <c r="O295" s="2"/>
    </row>
    <row r="296" spans="11:15" ht="17.25" customHeight="1">
      <c r="K296" s="1"/>
      <c r="N296" s="1"/>
      <c r="O296" s="2"/>
    </row>
    <row r="297" spans="11:15" ht="17.25" customHeight="1">
      <c r="K297" s="1"/>
      <c r="N297" s="1"/>
      <c r="O297" s="2"/>
    </row>
    <row r="298" spans="11:15" ht="17.25" customHeight="1">
      <c r="K298" s="1"/>
      <c r="N298" s="1"/>
      <c r="O298" s="2"/>
    </row>
    <row r="299" spans="11:15" ht="17.25" customHeight="1">
      <c r="K299" s="1"/>
      <c r="N299" s="1"/>
      <c r="O299" s="2"/>
    </row>
    <row r="300" spans="11:15" ht="17.25" customHeight="1">
      <c r="K300" s="1"/>
      <c r="N300" s="1"/>
      <c r="O300" s="2"/>
    </row>
    <row r="301" spans="11:15" ht="17.25" customHeight="1">
      <c r="K301" s="1"/>
      <c r="N301" s="1"/>
      <c r="O301" s="2"/>
    </row>
    <row r="302" spans="11:15" ht="17.25" customHeight="1">
      <c r="K302" s="1"/>
      <c r="N302" s="1"/>
      <c r="O302" s="2"/>
    </row>
    <row r="303" spans="11:15" ht="17.25" customHeight="1">
      <c r="K303" s="1"/>
      <c r="N303" s="1"/>
      <c r="O303" s="2"/>
    </row>
    <row r="304" spans="11:15" ht="17.25" customHeight="1">
      <c r="K304" s="1"/>
      <c r="N304" s="1"/>
      <c r="O304" s="2"/>
    </row>
    <row r="305" spans="11:15" ht="17.25" customHeight="1">
      <c r="K305" s="1"/>
      <c r="N305" s="1"/>
      <c r="O305" s="2"/>
    </row>
    <row r="306" spans="11:15" ht="17.25" customHeight="1">
      <c r="K306" s="1"/>
      <c r="N306" s="1"/>
      <c r="O306" s="2"/>
    </row>
    <row r="307" spans="11:15" ht="17.25" customHeight="1">
      <c r="K307" s="1"/>
      <c r="N307" s="1"/>
      <c r="O307" s="2"/>
    </row>
    <row r="308" spans="11:15" ht="17.25" customHeight="1">
      <c r="K308" s="1"/>
      <c r="N308" s="1"/>
      <c r="O308" s="2"/>
    </row>
    <row r="309" spans="11:15" ht="17.25" customHeight="1">
      <c r="K309" s="1"/>
      <c r="N309" s="1"/>
      <c r="O309" s="2"/>
    </row>
    <row r="310" spans="11:15" ht="17.25" customHeight="1">
      <c r="K310" s="1"/>
      <c r="N310" s="1"/>
      <c r="O310" s="2"/>
    </row>
    <row r="311" spans="11:15" ht="17.25" customHeight="1">
      <c r="K311" s="1"/>
      <c r="N311" s="1"/>
      <c r="O311" s="2"/>
    </row>
    <row r="312" spans="11:15" ht="17.25" customHeight="1">
      <c r="K312" s="1"/>
      <c r="N312" s="1"/>
      <c r="O312" s="2"/>
    </row>
    <row r="313" spans="11:15" ht="17.25" customHeight="1">
      <c r="K313" s="1"/>
      <c r="N313" s="1"/>
      <c r="O313" s="2"/>
    </row>
    <row r="314" spans="11:15" ht="17.25" customHeight="1">
      <c r="K314" s="1"/>
      <c r="N314" s="1"/>
      <c r="O314" s="2"/>
    </row>
    <row r="315" spans="11:15" ht="17.25" customHeight="1">
      <c r="K315" s="1"/>
      <c r="N315" s="1"/>
      <c r="O315" s="2"/>
    </row>
    <row r="316" spans="11:15" ht="17.25" customHeight="1">
      <c r="K316" s="1"/>
      <c r="N316" s="1"/>
      <c r="O316" s="2"/>
    </row>
    <row r="317" spans="11:15" ht="17.25" customHeight="1">
      <c r="K317" s="1"/>
      <c r="N317" s="1"/>
      <c r="O317" s="2"/>
    </row>
    <row r="318" spans="11:15" ht="17.25" customHeight="1">
      <c r="K318" s="1"/>
      <c r="N318" s="1"/>
      <c r="O318" s="2"/>
    </row>
    <row r="319" spans="11:15" ht="17.25" customHeight="1">
      <c r="K319" s="1"/>
      <c r="N319" s="1"/>
      <c r="O319" s="2"/>
    </row>
    <row r="320" spans="11:15" ht="17.25" customHeight="1">
      <c r="K320" s="1"/>
      <c r="N320" s="1"/>
      <c r="O320" s="2"/>
    </row>
    <row r="321" spans="11:15" ht="17.25" customHeight="1">
      <c r="K321" s="1"/>
      <c r="N321" s="1"/>
      <c r="O321" s="2"/>
    </row>
    <row r="322" spans="11:15" ht="17.25" customHeight="1">
      <c r="K322" s="1"/>
      <c r="N322" s="1"/>
      <c r="O322" s="2"/>
    </row>
    <row r="323" spans="11:15" ht="17.25" customHeight="1">
      <c r="K323" s="1"/>
      <c r="N323" s="1"/>
      <c r="O323" s="2"/>
    </row>
    <row r="324" spans="11:15" ht="17.25" customHeight="1">
      <c r="K324" s="1"/>
      <c r="N324" s="1"/>
      <c r="O324" s="2"/>
    </row>
    <row r="325" spans="11:15" ht="17.25" customHeight="1">
      <c r="K325" s="1"/>
      <c r="N325" s="1"/>
      <c r="O325" s="2"/>
    </row>
    <row r="326" spans="11:15" ht="17.25" customHeight="1">
      <c r="K326" s="1"/>
      <c r="N326" s="1"/>
      <c r="O326" s="2"/>
    </row>
    <row r="327" spans="11:15" ht="17.25" customHeight="1">
      <c r="K327" s="1"/>
      <c r="N327" s="1"/>
      <c r="O327" s="2"/>
    </row>
    <row r="328" spans="11:15" ht="17.25" customHeight="1">
      <c r="K328" s="1"/>
      <c r="N328" s="1"/>
      <c r="O328" s="2"/>
    </row>
    <row r="329" spans="11:15" ht="17.25" customHeight="1">
      <c r="K329" s="1"/>
      <c r="N329" s="1"/>
      <c r="O329" s="2"/>
    </row>
    <row r="330" spans="11:15" ht="17.25" customHeight="1">
      <c r="K330" s="1"/>
      <c r="N330" s="1"/>
      <c r="O330" s="2"/>
    </row>
    <row r="331" spans="11:15" ht="17.25" customHeight="1">
      <c r="K331" s="1"/>
      <c r="N331" s="1"/>
      <c r="O331" s="2"/>
    </row>
    <row r="332" spans="11:15" ht="17.25" customHeight="1">
      <c r="K332" s="1"/>
      <c r="N332" s="1"/>
      <c r="O332" s="2"/>
    </row>
    <row r="333" spans="11:15" ht="17.25" customHeight="1">
      <c r="K333" s="1"/>
      <c r="N333" s="1"/>
      <c r="O333" s="2"/>
    </row>
    <row r="334" spans="11:15" ht="17.25" customHeight="1">
      <c r="K334" s="1"/>
      <c r="N334" s="1"/>
      <c r="O334" s="2"/>
    </row>
    <row r="335" spans="11:15" ht="17.25" customHeight="1">
      <c r="K335" s="1"/>
      <c r="N335" s="1"/>
      <c r="O335" s="2"/>
    </row>
    <row r="336" spans="11:15" ht="17.25" customHeight="1">
      <c r="K336" s="1"/>
      <c r="N336" s="1"/>
      <c r="O336" s="2"/>
    </row>
    <row r="337" spans="11:15" ht="17.25" customHeight="1">
      <c r="K337" s="1"/>
      <c r="N337" s="1"/>
      <c r="O337" s="2"/>
    </row>
    <row r="338" spans="11:15" ht="17.25" customHeight="1">
      <c r="K338" s="1"/>
      <c r="N338" s="1"/>
      <c r="O338" s="2"/>
    </row>
    <row r="339" spans="11:15" ht="17.25" customHeight="1">
      <c r="K339" s="1"/>
      <c r="N339" s="1"/>
      <c r="O339" s="2"/>
    </row>
    <row r="340" spans="11:15" ht="17.25" customHeight="1">
      <c r="K340" s="1"/>
      <c r="N340" s="1"/>
      <c r="O340" s="2"/>
    </row>
    <row r="341" spans="11:15" ht="17.25" customHeight="1">
      <c r="K341" s="1"/>
      <c r="N341" s="1"/>
      <c r="O341" s="2"/>
    </row>
    <row r="342" spans="11:15" ht="17.25" customHeight="1">
      <c r="K342" s="1"/>
      <c r="N342" s="1"/>
      <c r="O342" s="2"/>
    </row>
    <row r="343" spans="11:15" ht="17.25" customHeight="1">
      <c r="K343" s="1"/>
      <c r="N343" s="1"/>
      <c r="O343" s="2"/>
    </row>
    <row r="344" spans="11:15" ht="17.25" customHeight="1">
      <c r="K344" s="1"/>
      <c r="N344" s="1"/>
      <c r="O344" s="2"/>
    </row>
    <row r="345" spans="11:15" ht="17.25" customHeight="1">
      <c r="K345" s="1"/>
      <c r="N345" s="1"/>
      <c r="O345" s="2"/>
    </row>
    <row r="346" spans="11:15" ht="17.25" customHeight="1">
      <c r="K346" s="1"/>
      <c r="N346" s="1"/>
      <c r="O346" s="2"/>
    </row>
    <row r="347" spans="11:15" ht="17.25" customHeight="1">
      <c r="K347" s="1"/>
      <c r="N347" s="1"/>
      <c r="O347" s="2"/>
    </row>
    <row r="348" spans="11:15" ht="17.25" customHeight="1">
      <c r="K348" s="1"/>
      <c r="N348" s="1"/>
      <c r="O348" s="2"/>
    </row>
    <row r="349" spans="11:15" ht="17.25" customHeight="1">
      <c r="K349" s="1"/>
      <c r="N349" s="1"/>
      <c r="O349" s="2"/>
    </row>
    <row r="350" spans="11:15" ht="17.25" customHeight="1">
      <c r="K350" s="1"/>
      <c r="N350" s="1"/>
      <c r="O350" s="2"/>
    </row>
    <row r="351" spans="11:15" ht="17.25" customHeight="1">
      <c r="K351" s="1"/>
      <c r="N351" s="1"/>
      <c r="O351" s="2"/>
    </row>
    <row r="352" spans="11:15" ht="17.25" customHeight="1">
      <c r="K352" s="1"/>
      <c r="N352" s="1"/>
      <c r="O352" s="2"/>
    </row>
    <row r="353" spans="11:15" ht="17.25" customHeight="1">
      <c r="K353" s="1"/>
      <c r="N353" s="1"/>
      <c r="O353" s="2"/>
    </row>
    <row r="354" spans="11:15" ht="17.25" customHeight="1">
      <c r="K354" s="1"/>
      <c r="N354" s="1"/>
      <c r="O354" s="2"/>
    </row>
    <row r="355" spans="11:15" ht="17.25" customHeight="1">
      <c r="K355" s="1"/>
      <c r="N355" s="1"/>
      <c r="O355" s="2"/>
    </row>
    <row r="356" spans="11:15" ht="17.25" customHeight="1">
      <c r="K356" s="1"/>
      <c r="N356" s="1"/>
      <c r="O356" s="2"/>
    </row>
    <row r="357" spans="11:15" ht="17.25" customHeight="1">
      <c r="K357" s="1"/>
      <c r="N357" s="1"/>
      <c r="O357" s="2"/>
    </row>
    <row r="358" spans="11:15" ht="17.25" customHeight="1">
      <c r="K358" s="1"/>
      <c r="N358" s="1"/>
      <c r="O358" s="2"/>
    </row>
    <row r="359" spans="11:15" ht="17.25" customHeight="1">
      <c r="K359" s="1"/>
      <c r="N359" s="1"/>
      <c r="O359" s="2"/>
    </row>
    <row r="360" spans="11:15" ht="17.25" customHeight="1">
      <c r="K360" s="1"/>
      <c r="N360" s="1"/>
      <c r="O360" s="2"/>
    </row>
    <row r="361" spans="11:15" ht="17.25" customHeight="1">
      <c r="K361" s="1"/>
      <c r="N361" s="1"/>
      <c r="O361" s="2"/>
    </row>
    <row r="362" spans="11:15" ht="17.25" customHeight="1">
      <c r="K362" s="1"/>
      <c r="N362" s="1"/>
      <c r="O362" s="2"/>
    </row>
    <row r="363" spans="11:15" ht="17.25" customHeight="1">
      <c r="K363" s="1"/>
      <c r="N363" s="1"/>
      <c r="O363" s="2"/>
    </row>
    <row r="364" spans="11:15" ht="17.25" customHeight="1">
      <c r="K364" s="1"/>
      <c r="N364" s="1"/>
      <c r="O364" s="2"/>
    </row>
    <row r="365" spans="11:15" ht="17.25" customHeight="1">
      <c r="K365" s="1"/>
      <c r="N365" s="1"/>
      <c r="O365" s="2"/>
    </row>
    <row r="366" spans="11:15" ht="17.25" customHeight="1">
      <c r="K366" s="1"/>
      <c r="N366" s="1"/>
      <c r="O366" s="2"/>
    </row>
    <row r="367" spans="11:15" ht="17.25" customHeight="1">
      <c r="K367" s="1"/>
      <c r="N367" s="1"/>
      <c r="O367" s="2"/>
    </row>
    <row r="368" spans="11:15" ht="17.25" customHeight="1">
      <c r="K368" s="1"/>
      <c r="N368" s="1"/>
      <c r="O368" s="2"/>
    </row>
    <row r="369" spans="11:15" ht="17.25" customHeight="1">
      <c r="K369" s="1"/>
      <c r="N369" s="1"/>
      <c r="O369" s="2"/>
    </row>
    <row r="370" spans="11:15" ht="17.25" customHeight="1">
      <c r="K370" s="1"/>
      <c r="N370" s="1"/>
      <c r="O370" s="2"/>
    </row>
    <row r="371" spans="11:15" ht="17.25" customHeight="1">
      <c r="K371" s="1"/>
      <c r="N371" s="1"/>
      <c r="O371" s="2"/>
    </row>
    <row r="372" spans="11:15" ht="17.25" customHeight="1">
      <c r="K372" s="1"/>
      <c r="N372" s="1"/>
      <c r="O372" s="2"/>
    </row>
    <row r="373" spans="11:15" ht="17.25" customHeight="1">
      <c r="K373" s="1"/>
      <c r="N373" s="1"/>
      <c r="O373" s="2"/>
    </row>
    <row r="374" spans="11:15" ht="17.25" customHeight="1">
      <c r="K374" s="1"/>
      <c r="N374" s="1"/>
      <c r="O374" s="2"/>
    </row>
    <row r="375" spans="11:15" ht="17.25" customHeight="1">
      <c r="K375" s="1"/>
      <c r="N375" s="1"/>
      <c r="O375" s="2"/>
    </row>
    <row r="376" spans="11:15" ht="17.25" customHeight="1">
      <c r="K376" s="1"/>
      <c r="N376" s="1"/>
      <c r="O376" s="2"/>
    </row>
    <row r="377" spans="11:15" ht="17.25" customHeight="1">
      <c r="K377" s="1"/>
      <c r="N377" s="1"/>
      <c r="O377" s="2"/>
    </row>
    <row r="378" spans="11:15" ht="17.25" customHeight="1">
      <c r="K378" s="1"/>
      <c r="N378" s="1"/>
      <c r="O378" s="2"/>
    </row>
    <row r="379" spans="11:15" ht="17.25" customHeight="1">
      <c r="K379" s="1"/>
      <c r="N379" s="1"/>
      <c r="O379" s="2"/>
    </row>
    <row r="380" spans="11:15" ht="17.25" customHeight="1">
      <c r="K380" s="1"/>
      <c r="N380" s="1"/>
      <c r="O380" s="2"/>
    </row>
    <row r="381" spans="11:15" ht="17.25" customHeight="1">
      <c r="K381" s="1"/>
      <c r="N381" s="1"/>
      <c r="O381" s="2"/>
    </row>
    <row r="382" spans="11:15" ht="17.25" customHeight="1">
      <c r="K382" s="1"/>
      <c r="N382" s="1"/>
      <c r="O382" s="2"/>
    </row>
    <row r="383" spans="11:15" ht="17.25" customHeight="1">
      <c r="K383" s="1"/>
      <c r="N383" s="1"/>
      <c r="O383" s="2"/>
    </row>
    <row r="384" spans="11:15" ht="17.25" customHeight="1">
      <c r="K384" s="1"/>
      <c r="N384" s="1"/>
      <c r="O384" s="2"/>
    </row>
    <row r="385" spans="11:15" ht="17.25" customHeight="1">
      <c r="K385" s="1"/>
      <c r="N385" s="1"/>
      <c r="O385" s="2"/>
    </row>
    <row r="386" spans="11:15" ht="17.25" customHeight="1">
      <c r="K386" s="1"/>
      <c r="N386" s="1"/>
      <c r="O386" s="2"/>
    </row>
    <row r="387" spans="11:15" ht="17.25" customHeight="1">
      <c r="K387" s="1"/>
      <c r="N387" s="1"/>
      <c r="O387" s="2"/>
    </row>
    <row r="388" spans="11:15" ht="17.25" customHeight="1">
      <c r="K388" s="1"/>
      <c r="N388" s="1"/>
      <c r="O388" s="2"/>
    </row>
    <row r="389" spans="11:15" ht="17.25" customHeight="1">
      <c r="K389" s="1"/>
      <c r="N389" s="1"/>
      <c r="O389" s="2"/>
    </row>
    <row r="390" spans="11:15" ht="17.25" customHeight="1">
      <c r="K390" s="1"/>
      <c r="N390" s="1"/>
      <c r="O390" s="2"/>
    </row>
    <row r="391" spans="11:15" ht="17.25" customHeight="1">
      <c r="K391" s="1"/>
      <c r="N391" s="1"/>
      <c r="O391" s="2"/>
    </row>
    <row r="392" spans="11:15" ht="17.25" customHeight="1">
      <c r="K392" s="1"/>
      <c r="N392" s="1"/>
      <c r="O392" s="2"/>
    </row>
    <row r="393" spans="11:15" ht="17.25" customHeight="1">
      <c r="K393" s="1"/>
      <c r="N393" s="1"/>
      <c r="O393" s="2"/>
    </row>
    <row r="394" spans="11:15" ht="17.25" customHeight="1">
      <c r="K394" s="1"/>
      <c r="N394" s="1"/>
      <c r="O394" s="2"/>
    </row>
    <row r="395" spans="11:15" ht="17.25" customHeight="1">
      <c r="K395" s="1"/>
      <c r="N395" s="1"/>
      <c r="O395" s="2"/>
    </row>
    <row r="396" spans="11:15" ht="17.25" customHeight="1">
      <c r="K396" s="1"/>
      <c r="N396" s="1"/>
      <c r="O396" s="2"/>
    </row>
    <row r="397" spans="11:15" ht="17.25" customHeight="1">
      <c r="K397" s="1"/>
      <c r="N397" s="1"/>
      <c r="O397" s="2"/>
    </row>
    <row r="398" spans="11:15" ht="17.25" customHeight="1">
      <c r="K398" s="1"/>
      <c r="N398" s="1"/>
      <c r="O398" s="2"/>
    </row>
    <row r="399" spans="11:15" ht="17.25" customHeight="1">
      <c r="K399" s="1"/>
      <c r="N399" s="1"/>
      <c r="O399" s="2"/>
    </row>
    <row r="400" spans="11:15" ht="17.25" customHeight="1">
      <c r="K400" s="1"/>
      <c r="N400" s="1"/>
      <c r="O400" s="2"/>
    </row>
    <row r="401" spans="11:15" ht="17.25" customHeight="1">
      <c r="K401" s="1"/>
      <c r="N401" s="1"/>
      <c r="O401" s="2"/>
    </row>
    <row r="402" spans="11:15" ht="17.25" customHeight="1">
      <c r="K402" s="1"/>
      <c r="N402" s="1"/>
      <c r="O402" s="2"/>
    </row>
    <row r="403" spans="11:15" ht="17.25" customHeight="1">
      <c r="K403" s="1"/>
      <c r="N403" s="1"/>
      <c r="O403" s="2"/>
    </row>
    <row r="404" spans="11:15" ht="17.25" customHeight="1">
      <c r="K404" s="1"/>
      <c r="N404" s="1"/>
      <c r="O404" s="2"/>
    </row>
    <row r="405" spans="11:15" ht="17.25" customHeight="1">
      <c r="K405" s="1"/>
      <c r="N405" s="1"/>
      <c r="O405" s="2"/>
    </row>
    <row r="406" spans="11:15" ht="17.25" customHeight="1">
      <c r="K406" s="1"/>
      <c r="N406" s="1"/>
      <c r="O406" s="2"/>
    </row>
    <row r="407" spans="11:15" ht="17.25" customHeight="1">
      <c r="K407" s="1"/>
      <c r="N407" s="1"/>
      <c r="O407" s="2"/>
    </row>
    <row r="408" spans="11:15" ht="17.25" customHeight="1">
      <c r="K408" s="1"/>
      <c r="N408" s="1"/>
      <c r="O408" s="2"/>
    </row>
    <row r="409" spans="11:15" ht="17.25" customHeight="1">
      <c r="K409" s="1"/>
      <c r="N409" s="1"/>
      <c r="O409" s="2"/>
    </row>
    <row r="410" spans="11:15" ht="17.25" customHeight="1">
      <c r="K410" s="1"/>
      <c r="N410" s="1"/>
      <c r="O410" s="2"/>
    </row>
    <row r="411" spans="11:15" ht="17.25" customHeight="1">
      <c r="K411" s="1"/>
      <c r="N411" s="1"/>
      <c r="O411" s="2"/>
    </row>
    <row r="412" spans="11:15" ht="17.25" customHeight="1">
      <c r="K412" s="1"/>
      <c r="N412" s="1"/>
      <c r="O412" s="2"/>
    </row>
    <row r="413" spans="11:15" ht="17.25" customHeight="1">
      <c r="K413" s="1"/>
      <c r="N413" s="1"/>
      <c r="O413" s="2"/>
    </row>
    <row r="414" spans="11:15" ht="17.25" customHeight="1">
      <c r="K414" s="1"/>
      <c r="N414" s="1"/>
      <c r="O414" s="2"/>
    </row>
    <row r="415" spans="11:15" ht="17.25" customHeight="1">
      <c r="K415" s="1"/>
      <c r="N415" s="1"/>
      <c r="O415" s="2"/>
    </row>
    <row r="416" spans="11:15" ht="17.25" customHeight="1">
      <c r="K416" s="1"/>
      <c r="N416" s="1"/>
      <c r="O416" s="2"/>
    </row>
    <row r="417" spans="11:15" ht="17.25" customHeight="1">
      <c r="K417" s="1"/>
      <c r="N417" s="1"/>
      <c r="O417" s="2"/>
    </row>
    <row r="418" spans="11:15" ht="17.25" customHeight="1">
      <c r="K418" s="1"/>
      <c r="N418" s="1"/>
      <c r="O418" s="2"/>
    </row>
    <row r="419" spans="11:15" ht="17.25" customHeight="1">
      <c r="K419" s="1"/>
      <c r="N419" s="1"/>
      <c r="O419" s="2"/>
    </row>
    <row r="420" spans="11:15" ht="17.25" customHeight="1">
      <c r="K420" s="1"/>
      <c r="N420" s="1"/>
      <c r="O420" s="2"/>
    </row>
    <row r="421" spans="11:15" ht="17.25" customHeight="1">
      <c r="K421" s="1"/>
      <c r="N421" s="1"/>
      <c r="O421" s="2"/>
    </row>
    <row r="422" spans="11:15" ht="17.25" customHeight="1">
      <c r="K422" s="1"/>
      <c r="N422" s="1"/>
      <c r="O422" s="2"/>
    </row>
    <row r="423" spans="11:15" ht="17.25" customHeight="1">
      <c r="K423" s="1"/>
      <c r="N423" s="1"/>
      <c r="O423" s="2"/>
    </row>
    <row r="424" spans="11:15" ht="17.25" customHeight="1">
      <c r="K424" s="1"/>
      <c r="N424" s="1"/>
      <c r="O424" s="2"/>
    </row>
    <row r="425" spans="11:15" ht="17.25" customHeight="1">
      <c r="K425" s="1"/>
      <c r="N425" s="1"/>
      <c r="O425" s="2"/>
    </row>
    <row r="426" spans="11:15" ht="17.25" customHeight="1">
      <c r="K426" s="1"/>
      <c r="N426" s="1"/>
      <c r="O426" s="2"/>
    </row>
    <row r="427" spans="11:15" ht="17.25" customHeight="1">
      <c r="K427" s="1"/>
      <c r="N427" s="1"/>
      <c r="O427" s="2"/>
    </row>
    <row r="428" spans="11:15" ht="17.25" customHeight="1">
      <c r="K428" s="1"/>
      <c r="N428" s="1"/>
      <c r="O428" s="2"/>
    </row>
    <row r="429" spans="11:15" ht="17.25" customHeight="1">
      <c r="K429" s="1"/>
      <c r="N429" s="1"/>
      <c r="O429" s="2"/>
    </row>
    <row r="430" spans="11:15" ht="17.25" customHeight="1">
      <c r="K430" s="1"/>
      <c r="N430" s="1"/>
      <c r="O430" s="2"/>
    </row>
    <row r="431" spans="11:15" ht="17.25" customHeight="1">
      <c r="K431" s="1"/>
      <c r="N431" s="1"/>
      <c r="O431" s="2"/>
    </row>
    <row r="432" spans="11:15" ht="17.25" customHeight="1">
      <c r="K432" s="1"/>
      <c r="N432" s="1"/>
      <c r="O432" s="2"/>
    </row>
    <row r="433" spans="11:15" ht="17.25" customHeight="1">
      <c r="K433" s="1"/>
      <c r="N433" s="1"/>
      <c r="O433" s="2"/>
    </row>
    <row r="434" spans="11:15" ht="17.25" customHeight="1">
      <c r="K434" s="1"/>
      <c r="N434" s="1"/>
      <c r="O434" s="2"/>
    </row>
    <row r="435" spans="11:15" ht="17.25" customHeight="1">
      <c r="K435" s="1"/>
      <c r="N435" s="1"/>
      <c r="O435" s="2"/>
    </row>
    <row r="436" spans="11:15" ht="17.25" customHeight="1">
      <c r="K436" s="1"/>
      <c r="N436" s="1"/>
      <c r="O436" s="2"/>
    </row>
    <row r="437" spans="11:15" ht="17.25" customHeight="1">
      <c r="K437" s="1"/>
      <c r="N437" s="1"/>
      <c r="O437" s="2"/>
    </row>
    <row r="438" spans="11:15" ht="17.25" customHeight="1">
      <c r="K438" s="1"/>
      <c r="N438" s="1"/>
      <c r="O438" s="2"/>
    </row>
    <row r="439" spans="11:15" ht="17.25" customHeight="1">
      <c r="K439" s="1"/>
      <c r="N439" s="1"/>
      <c r="O439" s="2"/>
    </row>
    <row r="440" spans="11:15" ht="17.25" customHeight="1">
      <c r="K440" s="1"/>
      <c r="N440" s="1"/>
      <c r="O440" s="2"/>
    </row>
    <row r="441" spans="11:15" ht="17.25" customHeight="1">
      <c r="K441" s="1"/>
      <c r="N441" s="1"/>
      <c r="O441" s="2"/>
    </row>
    <row r="442" spans="11:15" ht="17.25" customHeight="1">
      <c r="K442" s="1"/>
      <c r="N442" s="1"/>
      <c r="O442" s="2"/>
    </row>
    <row r="443" spans="11:15" ht="17.25" customHeight="1">
      <c r="K443" s="1"/>
      <c r="N443" s="1"/>
      <c r="O443" s="2"/>
    </row>
    <row r="444" spans="11:15" ht="17.25" customHeight="1">
      <c r="K444" s="1"/>
      <c r="N444" s="1"/>
      <c r="O444" s="2"/>
    </row>
    <row r="445" spans="11:15" ht="17.25" customHeight="1">
      <c r="K445" s="1"/>
      <c r="N445" s="1"/>
      <c r="O445" s="2"/>
    </row>
    <row r="446" spans="11:15" ht="17.25" customHeight="1">
      <c r="K446" s="1"/>
      <c r="N446" s="1"/>
      <c r="O446" s="2"/>
    </row>
    <row r="447" spans="11:15" ht="17.25" customHeight="1">
      <c r="K447" s="1"/>
      <c r="N447" s="1"/>
      <c r="O447" s="2"/>
    </row>
    <row r="448" spans="11:15" ht="17.25" customHeight="1">
      <c r="K448" s="1"/>
      <c r="N448" s="1"/>
      <c r="O448" s="2"/>
    </row>
    <row r="449" spans="11:15" ht="17.25" customHeight="1">
      <c r="K449" s="1"/>
      <c r="N449" s="1"/>
      <c r="O449" s="2"/>
    </row>
    <row r="450" spans="11:15" ht="17.25" customHeight="1">
      <c r="K450" s="1"/>
      <c r="N450" s="1"/>
      <c r="O450" s="2"/>
    </row>
    <row r="451" spans="11:15" ht="17.25" customHeight="1">
      <c r="K451" s="1"/>
      <c r="N451" s="1"/>
      <c r="O451" s="2"/>
    </row>
    <row r="452" spans="11:15" ht="17.25" customHeight="1">
      <c r="K452" s="1"/>
      <c r="N452" s="1"/>
      <c r="O452" s="2"/>
    </row>
    <row r="453" spans="11:15" ht="17.25" customHeight="1">
      <c r="K453" s="1"/>
      <c r="N453" s="1"/>
      <c r="O453" s="2"/>
    </row>
    <row r="454" spans="11:15" ht="17.25" customHeight="1">
      <c r="K454" s="1"/>
      <c r="N454" s="1"/>
      <c r="O454" s="2"/>
    </row>
    <row r="455" spans="11:15" ht="17.25" customHeight="1">
      <c r="K455" s="1"/>
      <c r="N455" s="1"/>
      <c r="O455" s="2"/>
    </row>
    <row r="456" spans="11:15" ht="17.25" customHeight="1">
      <c r="K456" s="1"/>
      <c r="N456" s="1"/>
      <c r="O456" s="2"/>
    </row>
    <row r="457" spans="11:15" ht="17.25" customHeight="1">
      <c r="K457" s="1"/>
      <c r="N457" s="1"/>
      <c r="O457" s="2"/>
    </row>
    <row r="458" spans="11:15" ht="17.25" customHeight="1">
      <c r="K458" s="1"/>
      <c r="N458" s="1"/>
      <c r="O458" s="2"/>
    </row>
    <row r="459" spans="11:15" ht="17.25" customHeight="1">
      <c r="K459" s="1"/>
      <c r="N459" s="1"/>
      <c r="O459" s="2"/>
    </row>
    <row r="460" spans="11:15" ht="17.25" customHeight="1">
      <c r="K460" s="1"/>
      <c r="N460" s="1"/>
      <c r="O460" s="2"/>
    </row>
    <row r="461" spans="11:15" ht="17.25" customHeight="1">
      <c r="K461" s="1"/>
      <c r="N461" s="1"/>
      <c r="O461" s="2"/>
    </row>
    <row r="462" spans="11:15" ht="17.25" customHeight="1">
      <c r="K462" s="1"/>
      <c r="N462" s="1"/>
      <c r="O462" s="2"/>
    </row>
    <row r="463" spans="11:15" ht="17.25" customHeight="1">
      <c r="K463" s="1"/>
      <c r="N463" s="1"/>
      <c r="O463" s="2"/>
    </row>
    <row r="464" spans="11:15" ht="17.25" customHeight="1">
      <c r="K464" s="1"/>
      <c r="N464" s="1"/>
      <c r="O464" s="2"/>
    </row>
    <row r="465" spans="11:15" ht="17.25" customHeight="1">
      <c r="K465" s="1"/>
      <c r="N465" s="1"/>
      <c r="O465" s="2"/>
    </row>
    <row r="466" spans="11:15" ht="17.25" customHeight="1">
      <c r="K466" s="1"/>
      <c r="N466" s="1"/>
      <c r="O466" s="2"/>
    </row>
    <row r="467" spans="11:15" ht="17.25" customHeight="1">
      <c r="K467" s="1"/>
      <c r="N467" s="1"/>
      <c r="O467" s="2"/>
    </row>
    <row r="468" spans="11:15" ht="17.25" customHeight="1">
      <c r="K468" s="1"/>
      <c r="N468" s="1"/>
      <c r="O468" s="2"/>
    </row>
    <row r="469" spans="11:15" ht="17.25" customHeight="1">
      <c r="K469" s="1"/>
      <c r="N469" s="1"/>
      <c r="O469" s="2"/>
    </row>
    <row r="470" spans="11:15" ht="17.25" customHeight="1">
      <c r="K470" s="1"/>
      <c r="N470" s="1"/>
      <c r="O470" s="2"/>
    </row>
    <row r="471" spans="11:15" ht="17.25" customHeight="1">
      <c r="K471" s="1"/>
      <c r="N471" s="1"/>
      <c r="O471" s="2"/>
    </row>
    <row r="472" spans="11:15" ht="17.25" customHeight="1">
      <c r="K472" s="1"/>
      <c r="N472" s="1"/>
      <c r="O472" s="2"/>
    </row>
    <row r="473" spans="11:15" ht="17.25" customHeight="1">
      <c r="K473" s="1"/>
      <c r="N473" s="1"/>
      <c r="O473" s="2"/>
    </row>
    <row r="474" spans="11:15" ht="17.25" customHeight="1">
      <c r="K474" s="1"/>
      <c r="N474" s="1"/>
      <c r="O474" s="2"/>
    </row>
    <row r="475" spans="11:15" ht="17.25" customHeight="1">
      <c r="K475" s="1"/>
      <c r="N475" s="1"/>
      <c r="O475" s="2"/>
    </row>
    <row r="476" spans="11:15" ht="17.25" customHeight="1">
      <c r="K476" s="1"/>
      <c r="N476" s="1"/>
      <c r="O476" s="2"/>
    </row>
    <row r="477" spans="11:15" ht="17.25" customHeight="1">
      <c r="K477" s="1"/>
      <c r="N477" s="1"/>
      <c r="O477" s="2"/>
    </row>
    <row r="478" spans="11:15" ht="17.25" customHeight="1">
      <c r="K478" s="1"/>
      <c r="N478" s="1"/>
      <c r="O478" s="2"/>
    </row>
    <row r="479" spans="11:15" ht="17.25" customHeight="1">
      <c r="K479" s="1"/>
      <c r="N479" s="1"/>
      <c r="O479" s="2"/>
    </row>
    <row r="480" spans="11:15" ht="17.25" customHeight="1">
      <c r="K480" s="1"/>
      <c r="N480" s="1"/>
      <c r="O480" s="2"/>
    </row>
    <row r="481" spans="11:15" ht="17.25" customHeight="1">
      <c r="K481" s="1"/>
      <c r="N481" s="1"/>
      <c r="O481" s="2"/>
    </row>
    <row r="482" spans="11:15" ht="17.25" customHeight="1">
      <c r="K482" s="1"/>
      <c r="N482" s="1"/>
      <c r="O482" s="2"/>
    </row>
    <row r="483" spans="11:15" ht="17.25" customHeight="1">
      <c r="K483" s="1"/>
      <c r="N483" s="1"/>
      <c r="O483" s="2"/>
    </row>
    <row r="484" spans="11:15" ht="17.25" customHeight="1">
      <c r="K484" s="1"/>
      <c r="N484" s="1"/>
      <c r="O484" s="2"/>
    </row>
    <row r="485" spans="11:15" ht="17.25" customHeight="1">
      <c r="K485" s="1"/>
      <c r="N485" s="1"/>
      <c r="O485" s="2"/>
    </row>
    <row r="486" spans="11:15" ht="17.25" customHeight="1">
      <c r="K486" s="1"/>
      <c r="N486" s="1"/>
      <c r="O486" s="2"/>
    </row>
    <row r="487" spans="11:15" ht="17.25" customHeight="1">
      <c r="K487" s="1"/>
      <c r="N487" s="1"/>
      <c r="O487" s="2"/>
    </row>
    <row r="488" spans="11:15" ht="17.25" customHeight="1">
      <c r="K488" s="1"/>
      <c r="N488" s="1"/>
      <c r="O488" s="2"/>
    </row>
    <row r="489" spans="11:15" ht="17.25" customHeight="1">
      <c r="K489" s="1"/>
      <c r="N489" s="1"/>
      <c r="O489" s="2"/>
    </row>
    <row r="490" spans="11:15" ht="17.25" customHeight="1">
      <c r="K490" s="1"/>
      <c r="N490" s="1"/>
      <c r="O490" s="2"/>
    </row>
    <row r="491" spans="11:15" ht="17.25" customHeight="1">
      <c r="K491" s="1"/>
      <c r="N491" s="1"/>
      <c r="O491" s="2"/>
    </row>
    <row r="492" spans="11:15" ht="17.25" customHeight="1">
      <c r="K492" s="1"/>
      <c r="N492" s="1"/>
      <c r="O492" s="2"/>
    </row>
    <row r="493" spans="11:15" ht="17.25" customHeight="1">
      <c r="K493" s="1"/>
      <c r="N493" s="1"/>
      <c r="O493" s="2"/>
    </row>
    <row r="494" spans="11:15" ht="17.25" customHeight="1">
      <c r="K494" s="1"/>
      <c r="N494" s="1"/>
      <c r="O494" s="2"/>
    </row>
    <row r="495" spans="11:15" ht="17.25" customHeight="1">
      <c r="K495" s="1"/>
      <c r="N495" s="1"/>
      <c r="O495" s="2"/>
    </row>
    <row r="496" spans="11:15" ht="17.25" customHeight="1">
      <c r="K496" s="1"/>
      <c r="N496" s="1"/>
      <c r="O496" s="2"/>
    </row>
    <row r="497" spans="11:15" ht="17.25" customHeight="1">
      <c r="K497" s="1"/>
      <c r="N497" s="1"/>
      <c r="O497" s="2"/>
    </row>
    <row r="498" spans="11:15" ht="17.25" customHeight="1">
      <c r="K498" s="1"/>
      <c r="N498" s="1"/>
      <c r="O498" s="2"/>
    </row>
    <row r="499" spans="11:15" ht="17.25" customHeight="1">
      <c r="K499" s="1"/>
      <c r="N499" s="1"/>
      <c r="O499" s="2"/>
    </row>
    <row r="500" spans="11:15" ht="17.25" customHeight="1">
      <c r="K500" s="1"/>
      <c r="N500" s="1"/>
      <c r="O500" s="2"/>
    </row>
    <row r="501" spans="11:15" ht="17.25" customHeight="1">
      <c r="K501" s="1"/>
      <c r="N501" s="1"/>
      <c r="O501" s="2"/>
    </row>
    <row r="502" spans="11:15" ht="17.25" customHeight="1">
      <c r="K502" s="1"/>
      <c r="N502" s="1"/>
      <c r="O502" s="2"/>
    </row>
    <row r="503" spans="11:15" ht="17.25" customHeight="1">
      <c r="K503" s="1"/>
      <c r="N503" s="1"/>
      <c r="O503" s="2"/>
    </row>
    <row r="504" spans="11:15" ht="17.25" customHeight="1">
      <c r="K504" s="1"/>
      <c r="N504" s="1"/>
      <c r="O504" s="2"/>
    </row>
    <row r="505" spans="11:15" ht="17.25" customHeight="1">
      <c r="K505" s="1"/>
      <c r="N505" s="1"/>
      <c r="O505" s="2"/>
    </row>
    <row r="506" spans="11:15" ht="17.25" customHeight="1">
      <c r="K506" s="1"/>
      <c r="N506" s="1"/>
      <c r="O506" s="2"/>
    </row>
    <row r="507" spans="11:15" ht="17.25" customHeight="1">
      <c r="K507" s="1"/>
      <c r="N507" s="1"/>
      <c r="O507" s="2"/>
    </row>
    <row r="508" spans="11:15" ht="17.25" customHeight="1">
      <c r="K508" s="1"/>
      <c r="N508" s="1"/>
      <c r="O508" s="2"/>
    </row>
    <row r="509" spans="11:15" ht="17.25" customHeight="1">
      <c r="K509" s="1"/>
      <c r="N509" s="1"/>
      <c r="O509" s="2"/>
    </row>
    <row r="510" spans="11:15" ht="17.25" customHeight="1">
      <c r="K510" s="1"/>
      <c r="N510" s="1"/>
      <c r="O510" s="2"/>
    </row>
    <row r="511" spans="11:15" ht="17.25" customHeight="1">
      <c r="K511" s="1"/>
      <c r="N511" s="1"/>
      <c r="O511" s="2"/>
    </row>
    <row r="512" spans="11:15" ht="17.25" customHeight="1">
      <c r="K512" s="1"/>
      <c r="N512" s="1"/>
      <c r="O512" s="2"/>
    </row>
    <row r="513" spans="11:15" ht="17.25" customHeight="1">
      <c r="K513" s="1"/>
      <c r="N513" s="1"/>
      <c r="O513" s="2"/>
    </row>
    <row r="514" spans="11:15" ht="17.25" customHeight="1">
      <c r="K514" s="1"/>
      <c r="N514" s="1"/>
      <c r="O514" s="2"/>
    </row>
    <row r="515" spans="11:15" ht="17.25" customHeight="1">
      <c r="K515" s="1"/>
      <c r="N515" s="1"/>
      <c r="O515" s="2"/>
    </row>
    <row r="516" spans="11:15" ht="17.25" customHeight="1">
      <c r="K516" s="1"/>
      <c r="N516" s="1"/>
      <c r="O516" s="2"/>
    </row>
    <row r="517" spans="11:15" ht="17.25" customHeight="1">
      <c r="K517" s="1"/>
      <c r="N517" s="1"/>
      <c r="O517" s="2"/>
    </row>
    <row r="518" spans="11:15" ht="17.25" customHeight="1">
      <c r="K518" s="1"/>
      <c r="N518" s="1"/>
      <c r="O518" s="2"/>
    </row>
    <row r="519" spans="11:15" ht="17.25" customHeight="1">
      <c r="K519" s="1"/>
      <c r="N519" s="1"/>
      <c r="O519" s="2"/>
    </row>
    <row r="520" spans="11:15" ht="17.25" customHeight="1">
      <c r="K520" s="1"/>
      <c r="N520" s="1"/>
      <c r="O520" s="2"/>
    </row>
    <row r="521" spans="11:15" ht="17.25" customHeight="1">
      <c r="K521" s="1"/>
      <c r="N521" s="1"/>
      <c r="O521" s="2"/>
    </row>
    <row r="522" spans="11:15" ht="17.25" customHeight="1">
      <c r="K522" s="1"/>
      <c r="N522" s="1"/>
      <c r="O522" s="2"/>
    </row>
    <row r="523" spans="11:15" ht="17.25" customHeight="1">
      <c r="K523" s="1"/>
      <c r="N523" s="1"/>
      <c r="O523" s="2"/>
    </row>
    <row r="524" spans="11:15" ht="17.25" customHeight="1">
      <c r="K524" s="1"/>
      <c r="N524" s="1"/>
      <c r="O524" s="2"/>
    </row>
    <row r="525" spans="11:15" ht="17.25" customHeight="1">
      <c r="K525" s="1"/>
      <c r="N525" s="1"/>
      <c r="O525" s="2"/>
    </row>
    <row r="526" spans="11:15" ht="17.25" customHeight="1">
      <c r="K526" s="1"/>
      <c r="N526" s="1"/>
      <c r="O526" s="2"/>
    </row>
    <row r="527" spans="11:15" ht="17.25" customHeight="1">
      <c r="K527" s="1"/>
      <c r="N527" s="1"/>
      <c r="O527" s="2"/>
    </row>
    <row r="528" spans="11:15" ht="17.25" customHeight="1">
      <c r="K528" s="1"/>
      <c r="N528" s="1"/>
      <c r="O528" s="2"/>
    </row>
    <row r="529" spans="11:15" ht="17.25" customHeight="1">
      <c r="K529" s="1"/>
      <c r="N529" s="1"/>
      <c r="O529" s="2"/>
    </row>
    <row r="530" spans="11:15" ht="17.25" customHeight="1">
      <c r="K530" s="1"/>
      <c r="N530" s="1"/>
      <c r="O530" s="2"/>
    </row>
    <row r="531" spans="11:15" ht="17.25" customHeight="1">
      <c r="K531" s="1"/>
      <c r="N531" s="1"/>
      <c r="O531" s="2"/>
    </row>
    <row r="532" spans="11:15" ht="17.25" customHeight="1">
      <c r="K532" s="1"/>
      <c r="N532" s="1"/>
      <c r="O532" s="2"/>
    </row>
    <row r="533" spans="11:15" ht="17.25" customHeight="1">
      <c r="K533" s="1"/>
      <c r="N533" s="1"/>
      <c r="O533" s="2"/>
    </row>
    <row r="534" spans="11:15" ht="17.25" customHeight="1">
      <c r="K534" s="1"/>
      <c r="N534" s="1"/>
      <c r="O534" s="2"/>
    </row>
    <row r="535" spans="11:15" ht="17.25" customHeight="1">
      <c r="K535" s="1"/>
      <c r="N535" s="1"/>
      <c r="O535" s="2"/>
    </row>
    <row r="536" spans="11:15" ht="17.25" customHeight="1">
      <c r="K536" s="1"/>
      <c r="N536" s="1"/>
      <c r="O536" s="2"/>
    </row>
    <row r="537" spans="11:15" ht="17.25" customHeight="1">
      <c r="K537" s="1"/>
      <c r="N537" s="1"/>
      <c r="O537" s="2"/>
    </row>
    <row r="538" spans="11:15" ht="17.25" customHeight="1">
      <c r="K538" s="1"/>
      <c r="N538" s="1"/>
      <c r="O538" s="2"/>
    </row>
    <row r="539" spans="11:15" ht="17.25" customHeight="1">
      <c r="K539" s="1"/>
      <c r="N539" s="1"/>
      <c r="O539" s="2"/>
    </row>
    <row r="540" spans="11:15" ht="17.25" customHeight="1">
      <c r="K540" s="1"/>
      <c r="N540" s="1"/>
      <c r="O540" s="2"/>
    </row>
    <row r="541" spans="11:15" ht="17.25" customHeight="1">
      <c r="K541" s="1"/>
      <c r="N541" s="1"/>
      <c r="O541" s="2"/>
    </row>
    <row r="542" spans="11:15" ht="17.25" customHeight="1">
      <c r="K542" s="1"/>
      <c r="N542" s="1"/>
      <c r="O542" s="2"/>
    </row>
    <row r="543" spans="11:15" ht="17.25" customHeight="1">
      <c r="K543" s="1"/>
      <c r="N543" s="1"/>
      <c r="O543" s="2"/>
    </row>
    <row r="544" spans="11:15" ht="17.25" customHeight="1">
      <c r="K544" s="1"/>
      <c r="N544" s="1"/>
      <c r="O544" s="2"/>
    </row>
    <row r="545" spans="11:15" ht="17.25" customHeight="1">
      <c r="K545" s="1"/>
      <c r="N545" s="1"/>
      <c r="O545" s="2"/>
    </row>
    <row r="546" spans="11:15" ht="17.25" customHeight="1">
      <c r="K546" s="1"/>
      <c r="N546" s="1"/>
      <c r="O546" s="2"/>
    </row>
    <row r="547" spans="11:15" ht="17.25" customHeight="1">
      <c r="K547" s="1"/>
      <c r="N547" s="1"/>
      <c r="O547" s="2"/>
    </row>
    <row r="548" spans="11:15" ht="17.25" customHeight="1">
      <c r="K548" s="1"/>
      <c r="N548" s="1"/>
      <c r="O548" s="2"/>
    </row>
    <row r="549" spans="11:15" ht="17.25" customHeight="1">
      <c r="K549" s="1"/>
      <c r="N549" s="1"/>
      <c r="O549" s="2"/>
    </row>
    <row r="550" spans="11:15" ht="17.25" customHeight="1">
      <c r="K550" s="1"/>
      <c r="N550" s="1"/>
      <c r="O550" s="2"/>
    </row>
    <row r="551" spans="11:15" ht="17.25" customHeight="1">
      <c r="K551" s="1"/>
      <c r="N551" s="1"/>
      <c r="O551" s="2"/>
    </row>
    <row r="552" spans="11:15" ht="17.25" customHeight="1">
      <c r="K552" s="1"/>
      <c r="N552" s="1"/>
      <c r="O552" s="2"/>
    </row>
    <row r="553" spans="11:15" ht="17.25" customHeight="1">
      <c r="K553" s="1"/>
      <c r="N553" s="1"/>
      <c r="O553" s="2"/>
    </row>
    <row r="554" spans="11:15" ht="17.25" customHeight="1">
      <c r="K554" s="1"/>
      <c r="N554" s="1"/>
      <c r="O554" s="2"/>
    </row>
    <row r="555" spans="11:15" ht="17.25" customHeight="1">
      <c r="K555" s="1"/>
      <c r="N555" s="1"/>
      <c r="O555" s="2"/>
    </row>
    <row r="556" spans="11:15" ht="17.25" customHeight="1">
      <c r="K556" s="1"/>
      <c r="N556" s="1"/>
      <c r="O556" s="2"/>
    </row>
    <row r="557" spans="11:15" ht="17.25" customHeight="1">
      <c r="K557" s="1"/>
      <c r="N557" s="1"/>
      <c r="O557" s="2"/>
    </row>
    <row r="558" spans="11:15" ht="17.25" customHeight="1">
      <c r="K558" s="1"/>
      <c r="N558" s="1"/>
      <c r="O558" s="2"/>
    </row>
    <row r="559" spans="11:15" ht="17.25" customHeight="1">
      <c r="K559" s="1"/>
      <c r="N559" s="1"/>
      <c r="O559" s="2"/>
    </row>
    <row r="560" spans="11:15" ht="17.25" customHeight="1">
      <c r="K560" s="1"/>
      <c r="N560" s="1"/>
      <c r="O560" s="2"/>
    </row>
    <row r="561" spans="11:15" ht="17.25" customHeight="1">
      <c r="K561" s="1"/>
      <c r="N561" s="1"/>
      <c r="O561" s="2"/>
    </row>
    <row r="562" spans="11:15" ht="17.25" customHeight="1">
      <c r="K562" s="1"/>
      <c r="N562" s="1"/>
      <c r="O562" s="2"/>
    </row>
    <row r="563" spans="11:15" ht="17.25" customHeight="1">
      <c r="K563" s="1"/>
      <c r="N563" s="1"/>
      <c r="O563" s="2"/>
    </row>
    <row r="564" spans="11:15" ht="17.25" customHeight="1">
      <c r="K564" s="1"/>
      <c r="N564" s="1"/>
      <c r="O564" s="2"/>
    </row>
    <row r="565" spans="11:15" ht="17.25" customHeight="1">
      <c r="K565" s="1"/>
      <c r="N565" s="1"/>
      <c r="O565" s="2"/>
    </row>
    <row r="566" spans="11:15" ht="17.25" customHeight="1">
      <c r="K566" s="1"/>
      <c r="N566" s="1"/>
      <c r="O566" s="2"/>
    </row>
    <row r="567" spans="11:15" ht="17.25" customHeight="1">
      <c r="K567" s="1"/>
      <c r="N567" s="1"/>
      <c r="O567" s="2"/>
    </row>
    <row r="568" spans="11:15" ht="17.25" customHeight="1">
      <c r="K568" s="1"/>
      <c r="N568" s="1"/>
      <c r="O568" s="2"/>
    </row>
    <row r="569" spans="11:15" ht="17.25" customHeight="1">
      <c r="K569" s="1"/>
      <c r="N569" s="1"/>
      <c r="O569" s="2"/>
    </row>
    <row r="570" spans="11:15" ht="17.25" customHeight="1">
      <c r="K570" s="1"/>
      <c r="N570" s="1"/>
      <c r="O570" s="2"/>
    </row>
    <row r="571" spans="11:15" ht="17.25" customHeight="1">
      <c r="K571" s="1"/>
      <c r="N571" s="1"/>
      <c r="O571" s="2"/>
    </row>
    <row r="572" spans="11:15" ht="17.25" customHeight="1">
      <c r="K572" s="1"/>
      <c r="N572" s="1"/>
      <c r="O572" s="2"/>
    </row>
    <row r="573" spans="11:15" ht="17.25" customHeight="1">
      <c r="K573" s="1"/>
      <c r="N573" s="1"/>
      <c r="O573" s="2"/>
    </row>
    <row r="574" spans="11:15" ht="17.25" customHeight="1">
      <c r="K574" s="1"/>
      <c r="N574" s="1"/>
      <c r="O574" s="2"/>
    </row>
    <row r="575" spans="11:15" ht="17.25" customHeight="1">
      <c r="K575" s="1"/>
      <c r="N575" s="1"/>
      <c r="O575" s="2"/>
    </row>
    <row r="576" spans="11:15" ht="17.25" customHeight="1">
      <c r="K576" s="1"/>
      <c r="N576" s="1"/>
      <c r="O576" s="2"/>
    </row>
    <row r="577" spans="11:15" ht="17.25" customHeight="1">
      <c r="K577" s="1"/>
      <c r="N577" s="1"/>
      <c r="O577" s="2"/>
    </row>
    <row r="578" spans="11:15" ht="17.25" customHeight="1">
      <c r="K578" s="1"/>
      <c r="N578" s="1"/>
      <c r="O578" s="2"/>
    </row>
    <row r="579" spans="11:15" ht="17.25" customHeight="1">
      <c r="K579" s="1"/>
      <c r="N579" s="1"/>
      <c r="O579" s="2"/>
    </row>
    <row r="580" spans="11:15" ht="17.25" customHeight="1">
      <c r="K580" s="1"/>
      <c r="N580" s="1"/>
      <c r="O580" s="2"/>
    </row>
    <row r="581" spans="11:15" ht="17.25" customHeight="1">
      <c r="K581" s="1"/>
      <c r="N581" s="1"/>
      <c r="O581" s="2"/>
    </row>
    <row r="582" spans="11:15" ht="17.25" customHeight="1">
      <c r="K582" s="1"/>
      <c r="N582" s="1"/>
      <c r="O582" s="2"/>
    </row>
    <row r="583" spans="11:15" ht="17.25" customHeight="1">
      <c r="K583" s="1"/>
      <c r="N583" s="1"/>
      <c r="O583" s="2"/>
    </row>
    <row r="584" spans="11:15" ht="17.25" customHeight="1">
      <c r="K584" s="1"/>
      <c r="N584" s="1"/>
      <c r="O584" s="2"/>
    </row>
    <row r="585" spans="11:15" ht="17.25" customHeight="1">
      <c r="K585" s="1"/>
      <c r="N585" s="1"/>
      <c r="O585" s="2"/>
    </row>
    <row r="586" spans="11:15" ht="17.25" customHeight="1">
      <c r="K586" s="1"/>
      <c r="N586" s="1"/>
      <c r="O586" s="2"/>
    </row>
    <row r="587" spans="11:15" ht="17.25" customHeight="1">
      <c r="K587" s="1"/>
      <c r="N587" s="1"/>
      <c r="O587" s="2"/>
    </row>
    <row r="588" spans="11:15" ht="17.25" customHeight="1">
      <c r="K588" s="1"/>
      <c r="N588" s="1"/>
      <c r="O588" s="2"/>
    </row>
    <row r="589" spans="11:15" ht="17.25" customHeight="1">
      <c r="K589" s="1"/>
      <c r="N589" s="1"/>
      <c r="O589" s="2"/>
    </row>
    <row r="590" spans="11:15" ht="17.25" customHeight="1">
      <c r="K590" s="1"/>
      <c r="N590" s="1"/>
      <c r="O590" s="2"/>
    </row>
    <row r="591" spans="11:15" ht="17.25" customHeight="1">
      <c r="K591" s="1"/>
      <c r="N591" s="1"/>
      <c r="O591" s="2"/>
    </row>
    <row r="592" spans="11:15" ht="17.25" customHeight="1">
      <c r="K592" s="1"/>
      <c r="N592" s="1"/>
      <c r="O592" s="2"/>
    </row>
    <row r="593" spans="11:15" ht="17.25" customHeight="1">
      <c r="K593" s="1"/>
      <c r="N593" s="1"/>
      <c r="O593" s="2"/>
    </row>
    <row r="594" spans="11:15" ht="17.25" customHeight="1">
      <c r="K594" s="1"/>
      <c r="N594" s="1"/>
      <c r="O594" s="2"/>
    </row>
    <row r="595" spans="11:15" ht="17.25" customHeight="1">
      <c r="K595" s="1"/>
      <c r="N595" s="1"/>
      <c r="O595" s="2"/>
    </row>
    <row r="596" spans="11:15" ht="17.25" customHeight="1">
      <c r="K596" s="1"/>
      <c r="N596" s="1"/>
      <c r="O596" s="2"/>
    </row>
    <row r="597" spans="11:15" ht="17.25" customHeight="1">
      <c r="K597" s="1"/>
      <c r="N597" s="1"/>
      <c r="O597" s="2"/>
    </row>
    <row r="598" spans="11:15" ht="17.25" customHeight="1">
      <c r="K598" s="1"/>
      <c r="N598" s="1"/>
      <c r="O598" s="2"/>
    </row>
    <row r="599" spans="11:15" ht="17.25" customHeight="1">
      <c r="K599" s="1"/>
      <c r="N599" s="1"/>
      <c r="O599" s="2"/>
    </row>
    <row r="600" spans="11:15" ht="17.25" customHeight="1">
      <c r="K600" s="1"/>
      <c r="N600" s="1"/>
      <c r="O600" s="2"/>
    </row>
    <row r="601" spans="11:15" ht="17.25" customHeight="1">
      <c r="K601" s="1"/>
      <c r="N601" s="1"/>
      <c r="O601" s="2"/>
    </row>
    <row r="602" spans="11:15" ht="17.25" customHeight="1">
      <c r="K602" s="1"/>
      <c r="N602" s="1"/>
      <c r="O602" s="2"/>
    </row>
    <row r="603" spans="11:15" ht="17.25" customHeight="1">
      <c r="K603" s="1"/>
      <c r="N603" s="1"/>
      <c r="O603" s="2"/>
    </row>
    <row r="604" spans="11:15" ht="17.25" customHeight="1">
      <c r="K604" s="1"/>
      <c r="N604" s="1"/>
      <c r="O604" s="2"/>
    </row>
    <row r="605" spans="11:15" ht="17.25" customHeight="1">
      <c r="K605" s="1"/>
      <c r="N605" s="1"/>
      <c r="O605" s="2"/>
    </row>
    <row r="606" spans="11:15" ht="17.25" customHeight="1">
      <c r="K606" s="1"/>
      <c r="N606" s="1"/>
      <c r="O606" s="2"/>
    </row>
    <row r="607" spans="11:15" ht="17.25" customHeight="1">
      <c r="K607" s="1"/>
      <c r="N607" s="1"/>
      <c r="O607" s="2"/>
    </row>
    <row r="608" spans="11:15" ht="17.25" customHeight="1">
      <c r="K608" s="1"/>
      <c r="N608" s="1"/>
      <c r="O608" s="2"/>
    </row>
    <row r="609" spans="11:15" ht="17.25" customHeight="1">
      <c r="K609" s="1"/>
      <c r="N609" s="1"/>
      <c r="O609" s="2"/>
    </row>
    <row r="610" spans="11:15" ht="17.25" customHeight="1">
      <c r="K610" s="1"/>
      <c r="N610" s="1"/>
      <c r="O610" s="2"/>
    </row>
    <row r="611" spans="11:15" ht="17.25" customHeight="1">
      <c r="K611" s="1"/>
      <c r="N611" s="1"/>
      <c r="O611" s="2"/>
    </row>
    <row r="612" spans="11:15" ht="17.25" customHeight="1">
      <c r="K612" s="1"/>
      <c r="N612" s="1"/>
      <c r="O612" s="2"/>
    </row>
    <row r="613" spans="11:15" ht="17.25" customHeight="1">
      <c r="K613" s="1"/>
      <c r="N613" s="1"/>
      <c r="O613" s="2"/>
    </row>
    <row r="614" spans="11:15" ht="17.25" customHeight="1">
      <c r="K614" s="1"/>
      <c r="N614" s="1"/>
      <c r="O614" s="2"/>
    </row>
    <row r="615" spans="11:15" ht="17.25" customHeight="1">
      <c r="K615" s="1"/>
      <c r="N615" s="1"/>
      <c r="O615" s="2"/>
    </row>
    <row r="616" spans="11:15" ht="17.25" customHeight="1">
      <c r="K616" s="1"/>
      <c r="N616" s="1"/>
      <c r="O616" s="2"/>
    </row>
    <row r="617" spans="11:15" ht="17.25" customHeight="1">
      <c r="K617" s="1"/>
      <c r="N617" s="1"/>
      <c r="O617" s="2"/>
    </row>
    <row r="618" spans="11:15" ht="17.25" customHeight="1">
      <c r="K618" s="1"/>
      <c r="N618" s="1"/>
      <c r="O618" s="2"/>
    </row>
    <row r="619" spans="11:15" ht="17.25" customHeight="1">
      <c r="K619" s="1"/>
      <c r="N619" s="1"/>
      <c r="O619" s="2"/>
    </row>
    <row r="620" spans="11:15" ht="17.25" customHeight="1">
      <c r="K620" s="1"/>
      <c r="N620" s="1"/>
      <c r="O620" s="2"/>
    </row>
    <row r="621" spans="11:15" ht="17.25" customHeight="1">
      <c r="K621" s="1"/>
      <c r="N621" s="1"/>
      <c r="O621" s="2"/>
    </row>
    <row r="622" spans="11:15" ht="17.25" customHeight="1">
      <c r="K622" s="1"/>
      <c r="N622" s="1"/>
      <c r="O622" s="2"/>
    </row>
    <row r="623" spans="11:15" ht="17.25" customHeight="1">
      <c r="K623" s="1"/>
      <c r="N623" s="1"/>
      <c r="O623" s="2"/>
    </row>
    <row r="624" spans="11:15" ht="17.25" customHeight="1">
      <c r="K624" s="1"/>
      <c r="N624" s="1"/>
      <c r="O624" s="2"/>
    </row>
    <row r="625" spans="11:15" ht="17.25" customHeight="1">
      <c r="K625" s="1"/>
      <c r="N625" s="1"/>
      <c r="O625" s="2"/>
    </row>
    <row r="626" spans="11:15" ht="17.25" customHeight="1">
      <c r="K626" s="1"/>
      <c r="N626" s="1"/>
      <c r="O626" s="2"/>
    </row>
    <row r="627" spans="11:15" ht="17.25" customHeight="1">
      <c r="K627" s="1"/>
      <c r="N627" s="1"/>
      <c r="O627" s="2"/>
    </row>
    <row r="628" spans="11:15" ht="17.25" customHeight="1">
      <c r="K628" s="1"/>
      <c r="N628" s="1"/>
      <c r="O628" s="2"/>
    </row>
    <row r="629" spans="11:15" ht="17.25" customHeight="1">
      <c r="K629" s="1"/>
      <c r="N629" s="1"/>
      <c r="O629" s="2"/>
    </row>
    <row r="630" spans="11:15" ht="17.25" customHeight="1">
      <c r="K630" s="1"/>
      <c r="N630" s="1"/>
      <c r="O630" s="2"/>
    </row>
    <row r="631" spans="11:15" ht="17.25" customHeight="1">
      <c r="K631" s="1"/>
      <c r="N631" s="1"/>
      <c r="O631" s="2"/>
    </row>
    <row r="632" spans="11:15" ht="17.25" customHeight="1">
      <c r="K632" s="1"/>
      <c r="N632" s="1"/>
      <c r="O632" s="2"/>
    </row>
    <row r="633" spans="11:15" ht="17.25" customHeight="1">
      <c r="K633" s="1"/>
      <c r="N633" s="1"/>
      <c r="O633" s="2"/>
    </row>
    <row r="634" spans="11:15" ht="17.25" customHeight="1">
      <c r="K634" s="1"/>
      <c r="N634" s="1"/>
      <c r="O634" s="2"/>
    </row>
    <row r="635" spans="11:15" ht="17.25" customHeight="1">
      <c r="K635" s="1"/>
      <c r="N635" s="1"/>
      <c r="O635" s="2"/>
    </row>
    <row r="636" spans="11:15" ht="17.25" customHeight="1">
      <c r="K636" s="1"/>
      <c r="N636" s="1"/>
      <c r="O636" s="2"/>
    </row>
    <row r="637" spans="11:15" ht="17.25" customHeight="1">
      <c r="K637" s="1"/>
      <c r="N637" s="1"/>
      <c r="O637" s="2"/>
    </row>
    <row r="638" spans="11:15" ht="17.25" customHeight="1">
      <c r="K638" s="1"/>
      <c r="N638" s="1"/>
      <c r="O638" s="2"/>
    </row>
    <row r="639" spans="11:15" ht="17.25" customHeight="1">
      <c r="K639" s="1"/>
      <c r="N639" s="1"/>
      <c r="O639" s="2"/>
    </row>
    <row r="640" spans="11:15" ht="17.25" customHeight="1">
      <c r="K640" s="1"/>
      <c r="N640" s="1"/>
      <c r="O640" s="2"/>
    </row>
    <row r="641" spans="11:15" ht="17.25" customHeight="1">
      <c r="K641" s="1"/>
      <c r="N641" s="1"/>
      <c r="O641" s="2"/>
    </row>
    <row r="642" spans="11:15" ht="17.25" customHeight="1">
      <c r="K642" s="1"/>
      <c r="N642" s="1"/>
      <c r="O642" s="2"/>
    </row>
    <row r="643" spans="11:15" ht="17.25" customHeight="1">
      <c r="K643" s="1"/>
      <c r="N643" s="1"/>
      <c r="O643" s="2"/>
    </row>
    <row r="644" spans="11:15" ht="17.25" customHeight="1">
      <c r="K644" s="1"/>
      <c r="N644" s="1"/>
      <c r="O644" s="2"/>
    </row>
    <row r="645" spans="11:15" ht="17.25" customHeight="1">
      <c r="K645" s="1"/>
      <c r="N645" s="1"/>
      <c r="O645" s="2"/>
    </row>
    <row r="646" spans="11:15" ht="17.25" customHeight="1">
      <c r="K646" s="1"/>
      <c r="N646" s="1"/>
      <c r="O646" s="2"/>
    </row>
    <row r="647" spans="11:15" ht="17.25" customHeight="1">
      <c r="K647" s="1"/>
      <c r="N647" s="1"/>
      <c r="O647" s="2"/>
    </row>
    <row r="648" spans="11:15" ht="17.25" customHeight="1">
      <c r="K648" s="1"/>
      <c r="N648" s="1"/>
      <c r="O648" s="2"/>
    </row>
    <row r="649" spans="11:15" ht="17.25" customHeight="1">
      <c r="K649" s="1"/>
      <c r="N649" s="1"/>
      <c r="O649" s="2"/>
    </row>
    <row r="650" spans="11:15" ht="17.25" customHeight="1">
      <c r="K650" s="1"/>
      <c r="N650" s="1"/>
      <c r="O650" s="2"/>
    </row>
    <row r="651" spans="11:15" ht="17.25" customHeight="1">
      <c r="K651" s="1"/>
      <c r="N651" s="1"/>
      <c r="O651" s="2"/>
    </row>
    <row r="652" spans="11:15" ht="17.25" customHeight="1">
      <c r="K652" s="1"/>
      <c r="N652" s="1"/>
      <c r="O652" s="2"/>
    </row>
    <row r="653" spans="11:15" ht="17.25" customHeight="1">
      <c r="K653" s="1"/>
      <c r="N653" s="1"/>
      <c r="O653" s="2"/>
    </row>
    <row r="654" spans="11:15" ht="17.25" customHeight="1">
      <c r="K654" s="1"/>
      <c r="N654" s="1"/>
      <c r="O654" s="2"/>
    </row>
    <row r="655" spans="11:15" ht="17.25" customHeight="1">
      <c r="K655" s="1"/>
      <c r="N655" s="1"/>
      <c r="O655" s="2"/>
    </row>
    <row r="656" spans="11:15" ht="17.25" customHeight="1">
      <c r="K656" s="1"/>
      <c r="N656" s="1"/>
      <c r="O656" s="2"/>
    </row>
    <row r="657" spans="11:15" ht="17.25" customHeight="1">
      <c r="K657" s="1"/>
      <c r="N657" s="1"/>
      <c r="O657" s="2"/>
    </row>
    <row r="658" spans="11:15" ht="17.25" customHeight="1">
      <c r="K658" s="1"/>
      <c r="N658" s="1"/>
      <c r="O658" s="2"/>
    </row>
    <row r="659" spans="11:15" ht="17.25" customHeight="1">
      <c r="K659" s="1"/>
      <c r="N659" s="1"/>
      <c r="O659" s="2"/>
    </row>
    <row r="660" spans="11:15" ht="17.25" customHeight="1">
      <c r="K660" s="1"/>
      <c r="N660" s="1"/>
      <c r="O660" s="2"/>
    </row>
    <row r="661" spans="11:15" ht="17.25" customHeight="1">
      <c r="K661" s="1"/>
      <c r="N661" s="1"/>
      <c r="O661" s="2"/>
    </row>
    <row r="662" spans="11:15" ht="17.25" customHeight="1">
      <c r="K662" s="1"/>
      <c r="N662" s="1"/>
      <c r="O662" s="2"/>
    </row>
    <row r="663" spans="11:15" ht="17.25" customHeight="1">
      <c r="K663" s="1"/>
      <c r="N663" s="1"/>
      <c r="O663" s="2"/>
    </row>
    <row r="664" spans="11:15" ht="17.25" customHeight="1">
      <c r="K664" s="1"/>
      <c r="N664" s="1"/>
      <c r="O664" s="2"/>
    </row>
    <row r="665" spans="11:15" ht="17.25" customHeight="1">
      <c r="K665" s="1"/>
      <c r="N665" s="1"/>
      <c r="O665" s="2"/>
    </row>
    <row r="666" spans="11:15" ht="17.25" customHeight="1">
      <c r="K666" s="1"/>
      <c r="N666" s="1"/>
      <c r="O666" s="2"/>
    </row>
    <row r="667" spans="11:15" ht="17.25" customHeight="1">
      <c r="K667" s="1"/>
      <c r="N667" s="1"/>
      <c r="O667" s="2"/>
    </row>
    <row r="668" spans="11:15" ht="17.25" customHeight="1">
      <c r="K668" s="1"/>
      <c r="N668" s="1"/>
      <c r="O668" s="2"/>
    </row>
    <row r="669" spans="11:15" ht="17.25" customHeight="1">
      <c r="K669" s="1"/>
      <c r="N669" s="1"/>
      <c r="O669" s="2"/>
    </row>
    <row r="670" spans="11:15" ht="17.25" customHeight="1">
      <c r="K670" s="1"/>
      <c r="N670" s="1"/>
      <c r="O670" s="2"/>
    </row>
    <row r="671" spans="11:15" ht="17.25" customHeight="1">
      <c r="K671" s="1"/>
      <c r="N671" s="1"/>
      <c r="O671" s="2"/>
    </row>
    <row r="672" spans="11:15" ht="17.25" customHeight="1">
      <c r="K672" s="1"/>
      <c r="N672" s="1"/>
      <c r="O672" s="2"/>
    </row>
    <row r="673" spans="11:15" ht="17.25" customHeight="1">
      <c r="K673" s="1"/>
      <c r="N673" s="1"/>
      <c r="O673" s="2"/>
    </row>
    <row r="674" spans="11:15" ht="17.25" customHeight="1">
      <c r="K674" s="1"/>
      <c r="N674" s="1"/>
      <c r="O674" s="2"/>
    </row>
    <row r="675" spans="11:15" ht="17.25" customHeight="1">
      <c r="K675" s="1"/>
      <c r="N675" s="1"/>
      <c r="O675" s="2"/>
    </row>
    <row r="676" spans="11:15" ht="17.25" customHeight="1">
      <c r="K676" s="1"/>
      <c r="N676" s="1"/>
      <c r="O676" s="2"/>
    </row>
    <row r="677" spans="11:15" ht="17.25" customHeight="1">
      <c r="K677" s="1"/>
      <c r="N677" s="1"/>
      <c r="O677" s="2"/>
    </row>
    <row r="678" spans="11:15" ht="17.25" customHeight="1">
      <c r="K678" s="1"/>
      <c r="N678" s="1"/>
      <c r="O678" s="2"/>
    </row>
    <row r="679" spans="11:15" ht="17.25" customHeight="1">
      <c r="K679" s="1"/>
      <c r="N679" s="1"/>
      <c r="O679" s="2"/>
    </row>
    <row r="680" spans="11:15" ht="17.25" customHeight="1">
      <c r="K680" s="1"/>
      <c r="N680" s="1"/>
      <c r="O680" s="2"/>
    </row>
    <row r="681" spans="11:15" ht="17.25" customHeight="1">
      <c r="K681" s="1"/>
      <c r="N681" s="1"/>
      <c r="O681" s="2"/>
    </row>
    <row r="682" spans="11:15" ht="17.25" customHeight="1">
      <c r="K682" s="1"/>
      <c r="N682" s="1"/>
      <c r="O682" s="2"/>
    </row>
    <row r="683" spans="11:15" ht="17.25" customHeight="1">
      <c r="K683" s="1"/>
      <c r="N683" s="1"/>
      <c r="O683" s="2"/>
    </row>
    <row r="684" spans="11:15" ht="17.25" customHeight="1">
      <c r="K684" s="1"/>
      <c r="N684" s="1"/>
      <c r="O684" s="2"/>
    </row>
    <row r="685" spans="11:15" ht="17.25" customHeight="1">
      <c r="K685" s="1"/>
      <c r="N685" s="1"/>
      <c r="O685" s="2"/>
    </row>
    <row r="686" spans="11:15" ht="17.25" customHeight="1">
      <c r="K686" s="1"/>
      <c r="N686" s="1"/>
      <c r="O686" s="2"/>
    </row>
    <row r="687" spans="11:15" ht="17.25" customHeight="1">
      <c r="K687" s="1"/>
      <c r="N687" s="1"/>
      <c r="O687" s="2"/>
    </row>
    <row r="688" spans="11:15" ht="17.25" customHeight="1">
      <c r="K688" s="1"/>
      <c r="N688" s="1"/>
      <c r="O688" s="2"/>
    </row>
    <row r="689" spans="11:15" ht="17.25" customHeight="1">
      <c r="K689" s="1"/>
      <c r="N689" s="1"/>
      <c r="O689" s="2"/>
    </row>
    <row r="690" spans="11:15" ht="17.25" customHeight="1">
      <c r="K690" s="1"/>
      <c r="N690" s="1"/>
      <c r="O690" s="2"/>
    </row>
    <row r="691" spans="11:15" ht="17.25" customHeight="1">
      <c r="K691" s="1"/>
      <c r="N691" s="1"/>
      <c r="O691" s="2"/>
    </row>
    <row r="692" spans="11:15" ht="17.25" customHeight="1">
      <c r="K692" s="1"/>
      <c r="N692" s="1"/>
      <c r="O692" s="2"/>
    </row>
    <row r="693" spans="11:15" ht="17.25" customHeight="1">
      <c r="K693" s="1"/>
      <c r="N693" s="1"/>
      <c r="O693" s="2"/>
    </row>
    <row r="694" spans="11:15" ht="17.25" customHeight="1">
      <c r="K694" s="1"/>
      <c r="N694" s="1"/>
      <c r="O694" s="2"/>
    </row>
    <row r="695" spans="11:15" ht="17.25" customHeight="1">
      <c r="K695" s="1"/>
      <c r="N695" s="1"/>
      <c r="O695" s="2"/>
    </row>
    <row r="696" spans="11:15" ht="17.25" customHeight="1">
      <c r="K696" s="1"/>
      <c r="N696" s="1"/>
      <c r="O696" s="2"/>
    </row>
    <row r="697" spans="11:15" ht="17.25" customHeight="1">
      <c r="K697" s="1"/>
      <c r="N697" s="1"/>
      <c r="O697" s="2"/>
    </row>
    <row r="698" spans="11:15" ht="17.25" customHeight="1">
      <c r="K698" s="1"/>
      <c r="N698" s="1"/>
      <c r="O698" s="2"/>
    </row>
    <row r="699" spans="11:15" ht="17.25" customHeight="1">
      <c r="K699" s="1"/>
      <c r="N699" s="1"/>
      <c r="O699" s="2"/>
    </row>
    <row r="700" spans="11:15" ht="17.25" customHeight="1">
      <c r="K700" s="1"/>
      <c r="N700" s="1"/>
      <c r="O700" s="2"/>
    </row>
    <row r="701" spans="11:15" ht="17.25" customHeight="1">
      <c r="K701" s="1"/>
      <c r="N701" s="1"/>
      <c r="O701" s="2"/>
    </row>
    <row r="702" spans="11:15" ht="17.25" customHeight="1">
      <c r="K702" s="1"/>
      <c r="N702" s="1"/>
      <c r="O702" s="2"/>
    </row>
    <row r="703" spans="11:15" ht="17.25" customHeight="1">
      <c r="K703" s="1"/>
      <c r="N703" s="1"/>
      <c r="O703" s="2"/>
    </row>
    <row r="704" spans="11:15" ht="17.25" customHeight="1">
      <c r="K704" s="1"/>
      <c r="N704" s="1"/>
      <c r="O704" s="2"/>
    </row>
    <row r="705" spans="11:15" ht="17.25" customHeight="1">
      <c r="K705" s="1"/>
      <c r="N705" s="1"/>
      <c r="O705" s="2"/>
    </row>
    <row r="706" spans="11:15" ht="17.25" customHeight="1">
      <c r="K706" s="1"/>
      <c r="N706" s="1"/>
      <c r="O706" s="2"/>
    </row>
    <row r="707" spans="11:15" ht="17.25" customHeight="1">
      <c r="K707" s="1"/>
      <c r="N707" s="1"/>
      <c r="O707" s="2"/>
    </row>
    <row r="708" spans="11:15" ht="17.25" customHeight="1">
      <c r="K708" s="1"/>
      <c r="N708" s="1"/>
      <c r="O708" s="2"/>
    </row>
    <row r="709" spans="11:15" ht="17.25" customHeight="1">
      <c r="K709" s="1"/>
      <c r="N709" s="1"/>
      <c r="O709" s="2"/>
    </row>
    <row r="710" spans="11:15" ht="17.25" customHeight="1">
      <c r="K710" s="1"/>
      <c r="N710" s="1"/>
      <c r="O710" s="2"/>
    </row>
    <row r="711" spans="11:15" ht="17.25" customHeight="1">
      <c r="K711" s="1"/>
      <c r="N711" s="1"/>
      <c r="O711" s="2"/>
    </row>
    <row r="712" spans="11:15" ht="17.25" customHeight="1">
      <c r="K712" s="1"/>
      <c r="N712" s="1"/>
      <c r="O712" s="2"/>
    </row>
    <row r="713" spans="11:15" ht="17.25" customHeight="1">
      <c r="K713" s="1"/>
      <c r="N713" s="1"/>
      <c r="O713" s="2"/>
    </row>
    <row r="714" spans="11:15" ht="17.25" customHeight="1">
      <c r="K714" s="1"/>
      <c r="N714" s="1"/>
      <c r="O714" s="2"/>
    </row>
    <row r="715" spans="11:15" ht="17.25" customHeight="1">
      <c r="K715" s="1"/>
      <c r="N715" s="1"/>
      <c r="O715" s="2"/>
    </row>
    <row r="716" spans="11:15" ht="17.25" customHeight="1">
      <c r="K716" s="1"/>
      <c r="N716" s="1"/>
      <c r="O716" s="2"/>
    </row>
    <row r="717" spans="11:15" ht="17.25" customHeight="1">
      <c r="K717" s="1"/>
      <c r="N717" s="1"/>
      <c r="O717" s="2"/>
    </row>
    <row r="718" spans="11:15" ht="17.25" customHeight="1">
      <c r="K718" s="1"/>
      <c r="N718" s="1"/>
      <c r="O718" s="2"/>
    </row>
    <row r="719" spans="11:15" ht="17.25" customHeight="1">
      <c r="K719" s="1"/>
      <c r="N719" s="1"/>
      <c r="O719" s="2"/>
    </row>
    <row r="720" spans="11:15" ht="17.25" customHeight="1">
      <c r="K720" s="1"/>
      <c r="N720" s="1"/>
      <c r="O720" s="2"/>
    </row>
    <row r="721" spans="11:15" ht="17.25" customHeight="1">
      <c r="K721" s="1"/>
      <c r="N721" s="1"/>
      <c r="O721" s="2"/>
    </row>
    <row r="722" spans="11:15" ht="17.25" customHeight="1">
      <c r="K722" s="1"/>
      <c r="N722" s="1"/>
      <c r="O722" s="2"/>
    </row>
    <row r="723" spans="11:15" ht="17.25" customHeight="1">
      <c r="K723" s="1"/>
      <c r="N723" s="1"/>
      <c r="O723" s="2"/>
    </row>
    <row r="724" spans="11:15" ht="17.25" customHeight="1">
      <c r="K724" s="1"/>
      <c r="N724" s="1"/>
      <c r="O724" s="2"/>
    </row>
    <row r="725" spans="11:15" ht="17.25" customHeight="1">
      <c r="K725" s="1"/>
      <c r="N725" s="1"/>
      <c r="O725" s="2"/>
    </row>
    <row r="726" spans="11:15" ht="17.25" customHeight="1">
      <c r="K726" s="1"/>
      <c r="N726" s="1"/>
      <c r="O726" s="2"/>
    </row>
    <row r="727" spans="11:15" ht="17.25" customHeight="1">
      <c r="K727" s="1"/>
      <c r="N727" s="1"/>
      <c r="O727" s="2"/>
    </row>
    <row r="728" spans="11:15" ht="17.25" customHeight="1">
      <c r="K728" s="1"/>
      <c r="N728" s="1"/>
      <c r="O728" s="2"/>
    </row>
    <row r="729" spans="11:15" ht="17.25" customHeight="1">
      <c r="K729" s="1"/>
      <c r="N729" s="1"/>
      <c r="O729" s="2"/>
    </row>
    <row r="730" spans="11:15" ht="17.25" customHeight="1">
      <c r="K730" s="1"/>
      <c r="N730" s="1"/>
      <c r="O730" s="2"/>
    </row>
    <row r="731" spans="11:15" ht="17.25" customHeight="1">
      <c r="K731" s="1"/>
      <c r="N731" s="1"/>
      <c r="O731" s="2"/>
    </row>
    <row r="732" spans="11:15" ht="17.25" customHeight="1">
      <c r="K732" s="1"/>
      <c r="N732" s="1"/>
      <c r="O732" s="2"/>
    </row>
    <row r="733" spans="11:15" ht="17.25" customHeight="1">
      <c r="K733" s="1"/>
      <c r="N733" s="1"/>
      <c r="O733" s="2"/>
    </row>
    <row r="734" spans="11:15" ht="17.25" customHeight="1">
      <c r="K734" s="1"/>
      <c r="N734" s="1"/>
      <c r="O734" s="2"/>
    </row>
    <row r="735" spans="11:15" ht="17.25" customHeight="1">
      <c r="K735" s="1"/>
      <c r="N735" s="1"/>
      <c r="O735" s="2"/>
    </row>
    <row r="736" spans="11:15" ht="17.25" customHeight="1">
      <c r="K736" s="1"/>
      <c r="N736" s="1"/>
      <c r="O736" s="2"/>
    </row>
    <row r="737" spans="11:15" ht="17.25" customHeight="1">
      <c r="K737" s="1"/>
      <c r="N737" s="1"/>
      <c r="O737" s="2"/>
    </row>
    <row r="738" spans="11:15" ht="17.25" customHeight="1">
      <c r="K738" s="1"/>
      <c r="N738" s="1"/>
      <c r="O738" s="2"/>
    </row>
    <row r="739" spans="11:15" ht="17.25" customHeight="1">
      <c r="K739" s="1"/>
      <c r="N739" s="1"/>
      <c r="O739" s="2"/>
    </row>
    <row r="740" spans="11:15" ht="17.25" customHeight="1">
      <c r="K740" s="1"/>
      <c r="N740" s="1"/>
      <c r="O740" s="2"/>
    </row>
    <row r="741" spans="11:15" ht="17.25" customHeight="1">
      <c r="K741" s="1"/>
      <c r="N741" s="1"/>
      <c r="O741" s="2"/>
    </row>
    <row r="742" spans="11:15" ht="17.25" customHeight="1">
      <c r="K742" s="1"/>
      <c r="N742" s="1"/>
      <c r="O742" s="2"/>
    </row>
    <row r="743" spans="11:15" ht="17.25" customHeight="1">
      <c r="K743" s="1"/>
      <c r="N743" s="1"/>
      <c r="O743" s="2"/>
    </row>
    <row r="744" spans="11:15" ht="17.25" customHeight="1">
      <c r="K744" s="1"/>
      <c r="N744" s="1"/>
      <c r="O744" s="2"/>
    </row>
    <row r="745" spans="11:15" ht="17.25" customHeight="1">
      <c r="K745" s="1"/>
      <c r="N745" s="1"/>
      <c r="O745" s="2"/>
    </row>
    <row r="746" spans="11:15" ht="17.25" customHeight="1">
      <c r="K746" s="1"/>
      <c r="N746" s="1"/>
      <c r="O746" s="2"/>
    </row>
    <row r="747" spans="11:15" ht="17.25" customHeight="1">
      <c r="K747" s="1"/>
      <c r="N747" s="1"/>
      <c r="O747" s="2"/>
    </row>
    <row r="748" spans="11:15" ht="17.25" customHeight="1">
      <c r="K748" s="1"/>
      <c r="N748" s="1"/>
      <c r="O748" s="2"/>
    </row>
    <row r="749" spans="11:15" ht="17.25" customHeight="1">
      <c r="K749" s="1"/>
      <c r="N749" s="1"/>
      <c r="O749" s="2"/>
    </row>
    <row r="750" spans="11:15" ht="17.25" customHeight="1">
      <c r="K750" s="1"/>
      <c r="N750" s="1"/>
      <c r="O750" s="2"/>
    </row>
    <row r="751" spans="11:15" ht="17.25" customHeight="1">
      <c r="K751" s="1"/>
      <c r="N751" s="1"/>
      <c r="O751" s="2"/>
    </row>
    <row r="752" spans="11:15" ht="17.25" customHeight="1">
      <c r="K752" s="1"/>
      <c r="N752" s="1"/>
      <c r="O752" s="2"/>
    </row>
    <row r="753" spans="11:15" ht="17.25" customHeight="1">
      <c r="K753" s="1"/>
      <c r="N753" s="1"/>
      <c r="O753" s="2"/>
    </row>
    <row r="754" spans="11:15" ht="17.25" customHeight="1">
      <c r="K754" s="1"/>
      <c r="N754" s="1"/>
      <c r="O754" s="2"/>
    </row>
    <row r="755" spans="11:15" ht="17.25" customHeight="1">
      <c r="K755" s="1"/>
      <c r="N755" s="1"/>
      <c r="O755" s="2"/>
    </row>
    <row r="756" spans="11:15" ht="17.25" customHeight="1">
      <c r="K756" s="1"/>
      <c r="N756" s="1"/>
      <c r="O756" s="2"/>
    </row>
    <row r="757" spans="11:15" ht="17.25" customHeight="1">
      <c r="K757" s="1"/>
      <c r="N757" s="1"/>
      <c r="O757" s="2"/>
    </row>
    <row r="758" spans="11:15" ht="17.25" customHeight="1">
      <c r="K758" s="1"/>
      <c r="N758" s="1"/>
      <c r="O758" s="2"/>
    </row>
    <row r="759" spans="11:15" ht="17.25" customHeight="1">
      <c r="K759" s="1"/>
      <c r="N759" s="1"/>
      <c r="O759" s="2"/>
    </row>
    <row r="760" spans="11:15" ht="17.25" customHeight="1">
      <c r="K760" s="1"/>
      <c r="N760" s="1"/>
      <c r="O760" s="2"/>
    </row>
    <row r="761" spans="11:15" ht="17.25" customHeight="1">
      <c r="K761" s="1"/>
      <c r="N761" s="1"/>
      <c r="O761" s="2"/>
    </row>
    <row r="762" spans="11:15" ht="17.25" customHeight="1">
      <c r="K762" s="1"/>
      <c r="N762" s="1"/>
      <c r="O762" s="2"/>
    </row>
    <row r="763" spans="11:15" ht="17.25" customHeight="1">
      <c r="K763" s="1"/>
      <c r="N763" s="1"/>
      <c r="O763" s="2"/>
    </row>
    <row r="764" spans="11:15" ht="17.25" customHeight="1">
      <c r="K764" s="1"/>
      <c r="N764" s="1"/>
      <c r="O764" s="2"/>
    </row>
    <row r="765" spans="11:15" ht="17.25" customHeight="1">
      <c r="K765" s="1"/>
      <c r="N765" s="1"/>
      <c r="O765" s="2"/>
    </row>
    <row r="766" spans="11:15" ht="17.25" customHeight="1">
      <c r="K766" s="1"/>
      <c r="N766" s="1"/>
      <c r="O766" s="2"/>
    </row>
    <row r="767" spans="11:15" ht="17.25" customHeight="1">
      <c r="K767" s="1"/>
      <c r="N767" s="1"/>
      <c r="O767" s="2"/>
    </row>
    <row r="768" spans="11:15" ht="17.25" customHeight="1">
      <c r="K768" s="1"/>
      <c r="N768" s="1"/>
      <c r="O768" s="2"/>
    </row>
    <row r="769" spans="11:15" ht="17.25" customHeight="1">
      <c r="K769" s="1"/>
      <c r="N769" s="1"/>
      <c r="O769" s="2"/>
    </row>
    <row r="770" spans="11:15" ht="17.25" customHeight="1">
      <c r="K770" s="1"/>
      <c r="N770" s="1"/>
      <c r="O770" s="2"/>
    </row>
    <row r="771" spans="11:15" ht="17.25" customHeight="1">
      <c r="K771" s="1"/>
      <c r="N771" s="1"/>
      <c r="O771" s="2"/>
    </row>
    <row r="772" spans="11:15" ht="17.25" customHeight="1">
      <c r="K772" s="1"/>
      <c r="N772" s="1"/>
      <c r="O772" s="2"/>
    </row>
    <row r="773" spans="11:15" ht="17.25" customHeight="1">
      <c r="K773" s="1"/>
      <c r="N773" s="1"/>
      <c r="O773" s="2"/>
    </row>
    <row r="774" spans="11:15" ht="17.25" customHeight="1">
      <c r="K774" s="1"/>
      <c r="N774" s="1"/>
      <c r="O774" s="2"/>
    </row>
    <row r="775" spans="11:15" ht="17.25" customHeight="1">
      <c r="K775" s="1"/>
      <c r="N775" s="1"/>
      <c r="O775" s="2"/>
    </row>
    <row r="776" spans="11:15" ht="17.25" customHeight="1">
      <c r="K776" s="1"/>
      <c r="N776" s="1"/>
      <c r="O776" s="2"/>
    </row>
    <row r="777" spans="11:15" ht="17.25" customHeight="1">
      <c r="K777" s="1"/>
      <c r="N777" s="1"/>
      <c r="O777" s="2"/>
    </row>
    <row r="778" spans="11:15" ht="17.25" customHeight="1">
      <c r="K778" s="1"/>
      <c r="N778" s="1"/>
      <c r="O778" s="2"/>
    </row>
    <row r="779" spans="11:15" ht="17.25" customHeight="1">
      <c r="K779" s="1"/>
      <c r="N779" s="1"/>
      <c r="O779" s="2"/>
    </row>
    <row r="780" spans="11:15" ht="17.25" customHeight="1">
      <c r="K780" s="1"/>
      <c r="N780" s="1"/>
      <c r="O780" s="2"/>
    </row>
    <row r="781" spans="11:15" ht="17.25" customHeight="1">
      <c r="K781" s="1"/>
      <c r="N781" s="1"/>
      <c r="O781" s="2"/>
    </row>
    <row r="782" spans="11:15" ht="17.25" customHeight="1">
      <c r="K782" s="1"/>
      <c r="N782" s="1"/>
      <c r="O782" s="2"/>
    </row>
    <row r="783" spans="11:15" ht="17.25" customHeight="1">
      <c r="K783" s="1"/>
      <c r="N783" s="1"/>
      <c r="O783" s="2"/>
    </row>
    <row r="784" spans="11:15" ht="17.25" customHeight="1">
      <c r="K784" s="1"/>
      <c r="N784" s="1"/>
      <c r="O784" s="2"/>
    </row>
    <row r="785" spans="11:15" ht="17.25" customHeight="1">
      <c r="K785" s="1"/>
      <c r="N785" s="1"/>
      <c r="O785" s="2"/>
    </row>
    <row r="786" spans="11:15" ht="17.25" customHeight="1">
      <c r="K786" s="1"/>
      <c r="N786" s="1"/>
      <c r="O786" s="2"/>
    </row>
    <row r="787" spans="11:15" ht="17.25" customHeight="1">
      <c r="K787" s="1"/>
      <c r="N787" s="1"/>
      <c r="O787" s="2"/>
    </row>
    <row r="788" spans="11:15" ht="17.25" customHeight="1">
      <c r="K788" s="1"/>
      <c r="N788" s="1"/>
      <c r="O788" s="2"/>
    </row>
    <row r="789" spans="11:15" ht="17.25" customHeight="1">
      <c r="K789" s="1"/>
      <c r="N789" s="1"/>
      <c r="O789" s="2"/>
    </row>
    <row r="790" spans="11:15" ht="17.25" customHeight="1">
      <c r="K790" s="1"/>
      <c r="N790" s="1"/>
      <c r="O790" s="2"/>
    </row>
    <row r="791" spans="11:15" ht="17.25" customHeight="1">
      <c r="K791" s="1"/>
      <c r="N791" s="1"/>
      <c r="O791" s="2"/>
    </row>
    <row r="792" spans="11:15" ht="17.25" customHeight="1">
      <c r="K792" s="1"/>
      <c r="N792" s="1"/>
      <c r="O792" s="2"/>
    </row>
    <row r="793" spans="11:15" ht="17.25" customHeight="1">
      <c r="K793" s="1"/>
      <c r="N793" s="1"/>
      <c r="O793" s="2"/>
    </row>
    <row r="794" spans="11:15" ht="17.25" customHeight="1">
      <c r="K794" s="1"/>
      <c r="N794" s="1"/>
      <c r="O794" s="2"/>
    </row>
    <row r="795" spans="11:15" ht="17.25" customHeight="1">
      <c r="K795" s="1"/>
      <c r="N795" s="1"/>
      <c r="O795" s="2"/>
    </row>
    <row r="796" spans="11:15" ht="17.25" customHeight="1">
      <c r="K796" s="1"/>
      <c r="N796" s="1"/>
      <c r="O796" s="2"/>
    </row>
    <row r="797" spans="11:15" ht="17.25" customHeight="1">
      <c r="K797" s="1"/>
      <c r="N797" s="1"/>
      <c r="O797" s="2"/>
    </row>
    <row r="798" spans="11:15" ht="17.25" customHeight="1">
      <c r="K798" s="1"/>
      <c r="N798" s="1"/>
      <c r="O798" s="2"/>
    </row>
    <row r="799" spans="11:15" ht="17.25" customHeight="1">
      <c r="K799" s="1"/>
      <c r="N799" s="1"/>
      <c r="O799" s="2"/>
    </row>
    <row r="800" spans="11:15" ht="17.25" customHeight="1">
      <c r="K800" s="1"/>
      <c r="N800" s="1"/>
      <c r="O800" s="2"/>
    </row>
    <row r="801" spans="11:15" ht="17.25" customHeight="1">
      <c r="K801" s="1"/>
      <c r="N801" s="1"/>
      <c r="O801" s="2"/>
    </row>
    <row r="802" spans="11:15" ht="17.25" customHeight="1">
      <c r="K802" s="1"/>
      <c r="N802" s="1"/>
      <c r="O802" s="2"/>
    </row>
    <row r="803" spans="11:15" ht="17.25" customHeight="1">
      <c r="K803" s="1"/>
      <c r="N803" s="1"/>
      <c r="O803" s="2"/>
    </row>
    <row r="804" spans="11:15" ht="17.25" customHeight="1">
      <c r="K804" s="1"/>
      <c r="N804" s="1"/>
      <c r="O804" s="2"/>
    </row>
    <row r="805" spans="11:15" ht="17.25" customHeight="1">
      <c r="K805" s="1"/>
      <c r="N805" s="1"/>
      <c r="O805" s="2"/>
    </row>
    <row r="806" spans="11:15" ht="17.25" customHeight="1">
      <c r="K806" s="1"/>
      <c r="N806" s="1"/>
      <c r="O806" s="2"/>
    </row>
    <row r="807" spans="11:15" ht="17.25" customHeight="1">
      <c r="K807" s="1"/>
      <c r="N807" s="1"/>
      <c r="O807" s="2"/>
    </row>
    <row r="808" spans="11:15" ht="17.25" customHeight="1">
      <c r="K808" s="1"/>
      <c r="N808" s="1"/>
      <c r="O808" s="2"/>
    </row>
    <row r="809" spans="11:15" ht="17.25" customHeight="1">
      <c r="K809" s="1"/>
      <c r="N809" s="1"/>
      <c r="O809" s="2"/>
    </row>
    <row r="810" spans="11:15" ht="17.25" customHeight="1">
      <c r="K810" s="1"/>
      <c r="N810" s="1"/>
      <c r="O810" s="2"/>
    </row>
    <row r="811" spans="11:15" ht="17.25" customHeight="1">
      <c r="K811" s="1"/>
      <c r="N811" s="1"/>
      <c r="O811" s="2"/>
    </row>
    <row r="812" spans="11:15" ht="17.25" customHeight="1">
      <c r="K812" s="1"/>
      <c r="N812" s="1"/>
      <c r="O812" s="2"/>
    </row>
    <row r="813" spans="11:15" ht="17.25" customHeight="1">
      <c r="K813" s="1"/>
      <c r="N813" s="1"/>
      <c r="O813" s="2"/>
    </row>
    <row r="814" spans="11:15" ht="17.25" customHeight="1">
      <c r="K814" s="1"/>
      <c r="N814" s="1"/>
      <c r="O814" s="2"/>
    </row>
    <row r="815" spans="11:15" ht="17.25" customHeight="1">
      <c r="K815" s="1"/>
      <c r="N815" s="1"/>
      <c r="O815" s="2"/>
    </row>
    <row r="816" spans="11:15" ht="17.25" customHeight="1">
      <c r="K816" s="1"/>
      <c r="N816" s="1"/>
      <c r="O816" s="2"/>
    </row>
    <row r="817" spans="11:15" ht="17.25" customHeight="1">
      <c r="K817" s="1"/>
      <c r="N817" s="1"/>
      <c r="O817" s="2"/>
    </row>
    <row r="818" spans="11:15" ht="17.25" customHeight="1">
      <c r="K818" s="1"/>
      <c r="N818" s="1"/>
      <c r="O818" s="2"/>
    </row>
    <row r="819" spans="11:15" ht="17.25" customHeight="1">
      <c r="K819" s="1"/>
      <c r="N819" s="1"/>
      <c r="O819" s="2"/>
    </row>
    <row r="820" spans="11:15" ht="17.25" customHeight="1">
      <c r="K820" s="1"/>
      <c r="N820" s="1"/>
      <c r="O820" s="2"/>
    </row>
    <row r="821" spans="11:15" ht="17.25" customHeight="1">
      <c r="K821" s="1"/>
      <c r="N821" s="1"/>
      <c r="O821" s="2"/>
    </row>
    <row r="822" spans="11:15" ht="17.25" customHeight="1">
      <c r="K822" s="1"/>
      <c r="N822" s="1"/>
      <c r="O822" s="2"/>
    </row>
    <row r="823" spans="11:15" ht="17.25" customHeight="1">
      <c r="K823" s="1"/>
      <c r="N823" s="1"/>
      <c r="O823" s="2"/>
    </row>
    <row r="824" spans="11:15" ht="17.25" customHeight="1">
      <c r="K824" s="1"/>
      <c r="N824" s="1"/>
      <c r="O824" s="2"/>
    </row>
    <row r="825" spans="11:15" ht="17.25" customHeight="1">
      <c r="K825" s="1"/>
      <c r="N825" s="1"/>
      <c r="O825" s="2"/>
    </row>
    <row r="826" spans="11:15" ht="17.25" customHeight="1">
      <c r="K826" s="1"/>
      <c r="N826" s="1"/>
      <c r="O826" s="2"/>
    </row>
    <row r="827" spans="11:15" ht="17.25" customHeight="1">
      <c r="K827" s="1"/>
      <c r="N827" s="1"/>
      <c r="O827" s="2"/>
    </row>
    <row r="828" spans="11:15" ht="17.25" customHeight="1">
      <c r="K828" s="1"/>
      <c r="N828" s="1"/>
      <c r="O828" s="2"/>
    </row>
    <row r="829" spans="11:15" ht="17.25" customHeight="1">
      <c r="K829" s="1"/>
      <c r="N829" s="1"/>
      <c r="O829" s="2"/>
    </row>
    <row r="830" spans="11:15" ht="17.25" customHeight="1">
      <c r="K830" s="1"/>
      <c r="N830" s="1"/>
      <c r="O830" s="2"/>
    </row>
    <row r="831" spans="11:15" ht="17.25" customHeight="1">
      <c r="K831" s="1"/>
      <c r="N831" s="1"/>
      <c r="O831" s="2"/>
    </row>
    <row r="832" spans="11:15" ht="17.25" customHeight="1">
      <c r="K832" s="1"/>
      <c r="N832" s="1"/>
      <c r="O832" s="2"/>
    </row>
    <row r="833" spans="11:15" ht="17.25" customHeight="1">
      <c r="K833" s="1"/>
      <c r="N833" s="1"/>
      <c r="O833" s="2"/>
    </row>
    <row r="834" spans="11:15" ht="17.25" customHeight="1">
      <c r="K834" s="1"/>
      <c r="N834" s="1"/>
      <c r="O834" s="2"/>
    </row>
    <row r="835" spans="11:15" ht="17.25" customHeight="1">
      <c r="K835" s="1"/>
      <c r="N835" s="1"/>
      <c r="O835" s="2"/>
    </row>
    <row r="836" spans="11:15" ht="17.25" customHeight="1">
      <c r="K836" s="1"/>
      <c r="N836" s="1"/>
      <c r="O836" s="2"/>
    </row>
    <row r="837" spans="11:15" ht="17.25" customHeight="1">
      <c r="K837" s="1"/>
      <c r="N837" s="1"/>
      <c r="O837" s="2"/>
    </row>
    <row r="838" spans="11:15" ht="17.25" customHeight="1">
      <c r="K838" s="1"/>
      <c r="N838" s="1"/>
      <c r="O838" s="2"/>
    </row>
    <row r="839" spans="11:15" ht="17.25" customHeight="1">
      <c r="K839" s="1"/>
      <c r="N839" s="1"/>
      <c r="O839" s="2"/>
    </row>
    <row r="840" spans="11:15" ht="17.25" customHeight="1">
      <c r="K840" s="1"/>
      <c r="N840" s="1"/>
      <c r="O840" s="2"/>
    </row>
    <row r="841" spans="11:15" ht="17.25" customHeight="1">
      <c r="K841" s="1"/>
      <c r="N841" s="1"/>
      <c r="O841" s="2"/>
    </row>
    <row r="842" spans="11:15" ht="17.25" customHeight="1">
      <c r="K842" s="1"/>
      <c r="N842" s="1"/>
      <c r="O842" s="2"/>
    </row>
    <row r="843" spans="11:15" ht="17.25" customHeight="1">
      <c r="K843" s="1"/>
      <c r="N843" s="1"/>
      <c r="O843" s="2"/>
    </row>
    <row r="844" spans="11:15" ht="17.25" customHeight="1">
      <c r="K844" s="1"/>
      <c r="N844" s="1"/>
      <c r="O844" s="2"/>
    </row>
    <row r="845" spans="11:15" ht="17.25" customHeight="1">
      <c r="K845" s="1"/>
      <c r="N845" s="1"/>
      <c r="O845" s="2"/>
    </row>
    <row r="846" spans="11:15" ht="17.25" customHeight="1">
      <c r="K846" s="1"/>
      <c r="N846" s="1"/>
      <c r="O846" s="2"/>
    </row>
    <row r="847" spans="11:15" ht="17.25" customHeight="1">
      <c r="K847" s="1"/>
      <c r="N847" s="1"/>
      <c r="O847" s="2"/>
    </row>
    <row r="848" spans="11:15" ht="17.25" customHeight="1">
      <c r="K848" s="1"/>
      <c r="N848" s="1"/>
      <c r="O848" s="2"/>
    </row>
    <row r="849" spans="11:15" ht="17.25" customHeight="1">
      <c r="K849" s="1"/>
      <c r="N849" s="1"/>
      <c r="O849" s="2"/>
    </row>
    <row r="850" spans="11:15" ht="17.25" customHeight="1">
      <c r="K850" s="1"/>
      <c r="N850" s="1"/>
      <c r="O850" s="2"/>
    </row>
    <row r="851" spans="11:15" ht="17.25" customHeight="1">
      <c r="K851" s="1"/>
      <c r="N851" s="1"/>
      <c r="O851" s="2"/>
    </row>
    <row r="852" spans="11:15" ht="17.25" customHeight="1">
      <c r="K852" s="1"/>
      <c r="N852" s="1"/>
      <c r="O852" s="2"/>
    </row>
    <row r="853" spans="11:15" ht="17.25" customHeight="1">
      <c r="K853" s="1"/>
      <c r="N853" s="1"/>
      <c r="O853" s="2"/>
    </row>
    <row r="854" spans="11:15" ht="17.25" customHeight="1">
      <c r="K854" s="1"/>
      <c r="N854" s="1"/>
      <c r="O854" s="2"/>
    </row>
    <row r="855" spans="11:15" ht="17.25" customHeight="1">
      <c r="K855" s="1"/>
      <c r="N855" s="1"/>
      <c r="O855" s="2"/>
    </row>
    <row r="856" spans="11:15" ht="17.25" customHeight="1">
      <c r="K856" s="1"/>
      <c r="N856" s="1"/>
      <c r="O856" s="2"/>
    </row>
    <row r="857" spans="11:15" ht="17.25" customHeight="1">
      <c r="K857" s="1"/>
      <c r="N857" s="1"/>
      <c r="O857" s="2"/>
    </row>
    <row r="858" spans="11:15" ht="17.25" customHeight="1">
      <c r="K858" s="1"/>
      <c r="N858" s="1"/>
      <c r="O858" s="2"/>
    </row>
    <row r="859" spans="11:15" ht="17.25" customHeight="1">
      <c r="K859" s="1"/>
      <c r="N859" s="1"/>
      <c r="O859" s="2"/>
    </row>
    <row r="860" spans="11:15" ht="17.25" customHeight="1">
      <c r="K860" s="1"/>
      <c r="N860" s="1"/>
      <c r="O860" s="2"/>
    </row>
    <row r="861" spans="11:15" ht="17.25" customHeight="1">
      <c r="K861" s="1"/>
      <c r="N861" s="1"/>
      <c r="O861" s="2"/>
    </row>
    <row r="862" spans="11:15" ht="17.25" customHeight="1">
      <c r="K862" s="1"/>
      <c r="N862" s="1"/>
      <c r="O862" s="2"/>
    </row>
    <row r="863" spans="11:15" ht="17.25" customHeight="1">
      <c r="K863" s="1"/>
      <c r="N863" s="1"/>
      <c r="O863" s="2"/>
    </row>
    <row r="864" spans="11:15" ht="17.25" customHeight="1">
      <c r="K864" s="1"/>
      <c r="N864" s="1"/>
      <c r="O864" s="2"/>
    </row>
    <row r="865" spans="11:15" ht="17.25" customHeight="1">
      <c r="K865" s="1"/>
      <c r="N865" s="1"/>
      <c r="O865" s="2"/>
    </row>
    <row r="866" spans="11:15" ht="17.25" customHeight="1">
      <c r="K866" s="1"/>
      <c r="N866" s="1"/>
      <c r="O866" s="2"/>
    </row>
    <row r="867" spans="11:15" ht="17.25" customHeight="1">
      <c r="K867" s="1"/>
      <c r="N867" s="1"/>
      <c r="O867" s="2"/>
    </row>
    <row r="868" spans="11:15" ht="17.25" customHeight="1">
      <c r="K868" s="1"/>
      <c r="N868" s="1"/>
      <c r="O868" s="2"/>
    </row>
    <row r="869" spans="11:15" ht="17.25" customHeight="1">
      <c r="K869" s="1"/>
      <c r="N869" s="1"/>
      <c r="O869" s="2"/>
    </row>
    <row r="870" spans="11:15" ht="17.25" customHeight="1">
      <c r="K870" s="1"/>
      <c r="N870" s="1"/>
      <c r="O870" s="2"/>
    </row>
    <row r="871" spans="11:15" ht="17.25" customHeight="1">
      <c r="K871" s="1"/>
      <c r="N871" s="1"/>
      <c r="O871" s="2"/>
    </row>
    <row r="872" spans="11:15" ht="17.25" customHeight="1">
      <c r="K872" s="1"/>
      <c r="N872" s="1"/>
      <c r="O872" s="2"/>
    </row>
    <row r="873" spans="11:15" ht="17.25" customHeight="1">
      <c r="K873" s="1"/>
      <c r="N873" s="1"/>
      <c r="O873" s="2"/>
    </row>
    <row r="874" spans="11:15" ht="17.25" customHeight="1">
      <c r="K874" s="1"/>
      <c r="N874" s="1"/>
      <c r="O874" s="2"/>
    </row>
    <row r="875" spans="11:15" ht="17.25" customHeight="1">
      <c r="K875" s="1"/>
      <c r="N875" s="1"/>
      <c r="O875" s="2"/>
    </row>
    <row r="876" spans="11:15" ht="17.25" customHeight="1">
      <c r="K876" s="1"/>
      <c r="N876" s="1"/>
      <c r="O876" s="2"/>
    </row>
    <row r="877" spans="11:15" ht="17.25" customHeight="1">
      <c r="K877" s="1"/>
      <c r="N877" s="1"/>
      <c r="O877" s="2"/>
    </row>
    <row r="878" spans="11:15" ht="17.25" customHeight="1">
      <c r="K878" s="1"/>
      <c r="N878" s="1"/>
      <c r="O878" s="2"/>
    </row>
    <row r="879" spans="11:15" ht="17.25" customHeight="1">
      <c r="K879" s="1"/>
      <c r="N879" s="1"/>
      <c r="O879" s="2"/>
    </row>
    <row r="880" spans="11:15" ht="17.25" customHeight="1">
      <c r="K880" s="1"/>
      <c r="N880" s="1"/>
      <c r="O880" s="2"/>
    </row>
    <row r="881" spans="11:15" ht="17.25" customHeight="1">
      <c r="K881" s="1"/>
      <c r="N881" s="1"/>
      <c r="O881" s="2"/>
    </row>
    <row r="882" spans="11:15" ht="17.25" customHeight="1">
      <c r="K882" s="1"/>
      <c r="N882" s="1"/>
      <c r="O882" s="2"/>
    </row>
    <row r="883" spans="11:15" ht="17.25" customHeight="1">
      <c r="K883" s="1"/>
      <c r="N883" s="1"/>
      <c r="O883" s="2"/>
    </row>
    <row r="884" spans="11:15" ht="17.25" customHeight="1">
      <c r="K884" s="1"/>
      <c r="N884" s="1"/>
      <c r="O884" s="2"/>
    </row>
    <row r="885" spans="11:15" ht="17.25" customHeight="1">
      <c r="K885" s="1"/>
      <c r="N885" s="1"/>
      <c r="O885" s="2"/>
    </row>
    <row r="886" spans="11:15" ht="17.25" customHeight="1">
      <c r="K886" s="1"/>
      <c r="N886" s="1"/>
      <c r="O886" s="2"/>
    </row>
    <row r="887" spans="11:15" ht="17.25" customHeight="1">
      <c r="K887" s="1"/>
      <c r="N887" s="1"/>
      <c r="O887" s="2"/>
    </row>
    <row r="888" spans="11:15" ht="17.25" customHeight="1">
      <c r="K888" s="1"/>
      <c r="N888" s="1"/>
      <c r="O888" s="2"/>
    </row>
    <row r="889" spans="11:15" ht="17.25" customHeight="1">
      <c r="K889" s="1"/>
      <c r="N889" s="1"/>
      <c r="O889" s="2"/>
    </row>
    <row r="890" spans="11:15" ht="17.25" customHeight="1">
      <c r="K890" s="1"/>
      <c r="N890" s="1"/>
      <c r="O890" s="2"/>
    </row>
    <row r="891" spans="11:15" ht="17.25" customHeight="1">
      <c r="K891" s="1"/>
      <c r="N891" s="1"/>
      <c r="O891" s="2"/>
    </row>
    <row r="892" spans="11:15" ht="17.25" customHeight="1">
      <c r="K892" s="1"/>
      <c r="N892" s="1"/>
      <c r="O892" s="2"/>
    </row>
    <row r="893" spans="11:15" ht="17.25" customHeight="1">
      <c r="K893" s="1"/>
      <c r="N893" s="1"/>
      <c r="O893" s="2"/>
    </row>
    <row r="894" spans="11:15" ht="17.25" customHeight="1">
      <c r="K894" s="1"/>
      <c r="N894" s="1"/>
      <c r="O894" s="2"/>
    </row>
    <row r="895" spans="11:15" ht="17.25" customHeight="1">
      <c r="K895" s="1"/>
      <c r="N895" s="1"/>
      <c r="O895" s="2"/>
    </row>
    <row r="896" spans="11:15" ht="17.25" customHeight="1">
      <c r="K896" s="1"/>
      <c r="N896" s="1"/>
      <c r="O896" s="2"/>
    </row>
    <row r="897" spans="11:15" ht="17.25" customHeight="1">
      <c r="K897" s="1"/>
      <c r="N897" s="1"/>
      <c r="O897" s="2"/>
    </row>
    <row r="898" spans="11:15" ht="17.25" customHeight="1">
      <c r="K898" s="1"/>
      <c r="N898" s="1"/>
      <c r="O898" s="2"/>
    </row>
    <row r="899" spans="11:15" ht="17.25" customHeight="1">
      <c r="K899" s="1"/>
      <c r="N899" s="1"/>
      <c r="O899" s="2"/>
    </row>
    <row r="900" spans="11:15" ht="17.25" customHeight="1">
      <c r="K900" s="1"/>
      <c r="N900" s="1"/>
      <c r="O900" s="2"/>
    </row>
    <row r="901" spans="11:15" ht="17.25" customHeight="1">
      <c r="K901" s="1"/>
      <c r="N901" s="1"/>
      <c r="O901" s="2"/>
    </row>
    <row r="902" spans="11:15" ht="17.25" customHeight="1">
      <c r="K902" s="1"/>
      <c r="N902" s="1"/>
      <c r="O902" s="2"/>
    </row>
    <row r="903" spans="11:15" ht="17.25" customHeight="1">
      <c r="K903" s="1"/>
      <c r="N903" s="1"/>
      <c r="O903" s="2"/>
    </row>
    <row r="904" spans="11:15" ht="17.25" customHeight="1">
      <c r="K904" s="1"/>
      <c r="N904" s="1"/>
      <c r="O904" s="2"/>
    </row>
    <row r="905" spans="11:15" ht="17.25" customHeight="1">
      <c r="K905" s="1"/>
      <c r="N905" s="1"/>
      <c r="O905" s="2"/>
    </row>
    <row r="906" spans="11:15" ht="17.25" customHeight="1">
      <c r="K906" s="1"/>
      <c r="N906" s="1"/>
      <c r="O906" s="2"/>
    </row>
    <row r="907" spans="11:15" ht="17.25" customHeight="1">
      <c r="K907" s="1"/>
      <c r="N907" s="1"/>
      <c r="O907" s="2"/>
    </row>
    <row r="908" spans="11:15" ht="17.25" customHeight="1">
      <c r="K908" s="1"/>
      <c r="N908" s="1"/>
      <c r="O908" s="2"/>
    </row>
    <row r="909" spans="11:15" ht="17.25" customHeight="1">
      <c r="K909" s="1"/>
      <c r="N909" s="1"/>
      <c r="O909" s="2"/>
    </row>
    <row r="910" spans="11:15" ht="17.25" customHeight="1">
      <c r="K910" s="1"/>
      <c r="N910" s="1"/>
      <c r="O910" s="2"/>
    </row>
    <row r="911" spans="11:15" ht="17.25" customHeight="1">
      <c r="K911" s="1"/>
      <c r="N911" s="1"/>
      <c r="O911" s="2"/>
    </row>
    <row r="912" spans="11:15" ht="17.25" customHeight="1">
      <c r="K912" s="1"/>
      <c r="N912" s="1"/>
      <c r="O912" s="2"/>
    </row>
    <row r="913" spans="11:15" ht="17.25" customHeight="1">
      <c r="K913" s="1"/>
      <c r="N913" s="1"/>
      <c r="O913" s="2"/>
    </row>
    <row r="914" spans="11:15" ht="17.25" customHeight="1">
      <c r="K914" s="1"/>
      <c r="N914" s="1"/>
      <c r="O914" s="2"/>
    </row>
    <row r="915" spans="11:15" ht="17.25" customHeight="1">
      <c r="K915" s="1"/>
      <c r="N915" s="1"/>
      <c r="O915" s="2"/>
    </row>
    <row r="916" spans="11:15" ht="17.25" customHeight="1">
      <c r="K916" s="1"/>
      <c r="N916" s="1"/>
      <c r="O916" s="2"/>
    </row>
    <row r="917" spans="11:15" ht="17.25" customHeight="1">
      <c r="K917" s="1"/>
      <c r="N917" s="1"/>
      <c r="O917" s="2"/>
    </row>
    <row r="918" spans="11:15" ht="17.25" customHeight="1">
      <c r="K918" s="1"/>
      <c r="N918" s="1"/>
      <c r="O918" s="2"/>
    </row>
    <row r="919" spans="11:15" ht="17.25" customHeight="1">
      <c r="K919" s="1"/>
      <c r="N919" s="1"/>
      <c r="O919" s="2"/>
    </row>
    <row r="920" spans="11:15" ht="17.25" customHeight="1">
      <c r="K920" s="1"/>
      <c r="N920" s="1"/>
      <c r="O920" s="2"/>
    </row>
    <row r="921" spans="11:15" ht="17.25" customHeight="1">
      <c r="K921" s="1"/>
      <c r="N921" s="1"/>
      <c r="O921" s="2"/>
    </row>
    <row r="922" spans="11:15" ht="17.25" customHeight="1">
      <c r="K922" s="1"/>
      <c r="N922" s="1"/>
      <c r="O922" s="2"/>
    </row>
    <row r="923" spans="11:15" ht="17.25" customHeight="1">
      <c r="K923" s="1"/>
      <c r="N923" s="1"/>
      <c r="O923" s="2"/>
    </row>
    <row r="924" spans="11:15" ht="17.25" customHeight="1">
      <c r="K924" s="1"/>
      <c r="N924" s="1"/>
      <c r="O924" s="2"/>
    </row>
    <row r="925" spans="11:15" ht="17.25" customHeight="1">
      <c r="K925" s="1"/>
      <c r="N925" s="1"/>
      <c r="O925" s="2"/>
    </row>
    <row r="926" spans="11:15" ht="17.25" customHeight="1">
      <c r="K926" s="1"/>
      <c r="N926" s="1"/>
      <c r="O926" s="2"/>
    </row>
    <row r="927" spans="11:15" ht="17.25" customHeight="1">
      <c r="K927" s="1"/>
      <c r="N927" s="1"/>
      <c r="O927" s="2"/>
    </row>
    <row r="928" spans="11:15" ht="17.25" customHeight="1">
      <c r="K928" s="1"/>
      <c r="N928" s="1"/>
      <c r="O928" s="2"/>
    </row>
    <row r="929" spans="11:15" ht="17.25" customHeight="1">
      <c r="K929" s="1"/>
      <c r="N929" s="1"/>
      <c r="O929" s="2"/>
    </row>
    <row r="930" spans="11:15" ht="17.25" customHeight="1">
      <c r="K930" s="1"/>
      <c r="N930" s="1"/>
      <c r="O930" s="2"/>
    </row>
    <row r="931" spans="11:15" ht="17.25" customHeight="1">
      <c r="K931" s="1"/>
      <c r="N931" s="1"/>
      <c r="O931" s="2"/>
    </row>
    <row r="932" spans="11:15" ht="17.25" customHeight="1">
      <c r="K932" s="1"/>
      <c r="N932" s="1"/>
      <c r="O932" s="2"/>
    </row>
    <row r="933" spans="11:15" ht="17.25" customHeight="1">
      <c r="K933" s="1"/>
      <c r="N933" s="1"/>
      <c r="O933" s="2"/>
    </row>
    <row r="934" spans="11:15" ht="17.25" customHeight="1">
      <c r="K934" s="1"/>
      <c r="N934" s="1"/>
      <c r="O934" s="2"/>
    </row>
    <row r="935" spans="11:15" ht="17.25" customHeight="1">
      <c r="K935" s="1"/>
      <c r="N935" s="1"/>
      <c r="O935" s="2"/>
    </row>
    <row r="936" spans="11:15" ht="17.25" customHeight="1">
      <c r="K936" s="1"/>
      <c r="N936" s="1"/>
      <c r="O936" s="2"/>
    </row>
    <row r="937" spans="11:15" ht="17.25" customHeight="1">
      <c r="K937" s="1"/>
      <c r="N937" s="1"/>
      <c r="O937" s="2"/>
    </row>
    <row r="938" spans="11:15" ht="17.25" customHeight="1">
      <c r="K938" s="1"/>
      <c r="N938" s="1"/>
      <c r="O938" s="2"/>
    </row>
    <row r="939" spans="11:15" ht="17.25" customHeight="1">
      <c r="K939" s="1"/>
      <c r="N939" s="1"/>
      <c r="O939" s="2"/>
    </row>
    <row r="940" spans="11:15" ht="17.25" customHeight="1">
      <c r="K940" s="1"/>
      <c r="N940" s="1"/>
      <c r="O940" s="2"/>
    </row>
    <row r="941" spans="11:15" ht="17.25" customHeight="1">
      <c r="K941" s="1"/>
      <c r="N941" s="1"/>
      <c r="O941" s="2"/>
    </row>
    <row r="942" spans="11:15" ht="17.25" customHeight="1">
      <c r="K942" s="1"/>
      <c r="N942" s="1"/>
      <c r="O942" s="2"/>
    </row>
    <row r="943" spans="11:15" ht="17.25" customHeight="1">
      <c r="K943" s="1"/>
      <c r="N943" s="1"/>
      <c r="O943" s="2"/>
    </row>
    <row r="944" spans="11:15" ht="17.25" customHeight="1">
      <c r="K944" s="1"/>
      <c r="N944" s="1"/>
      <c r="O944" s="2"/>
    </row>
    <row r="945" spans="11:15" ht="17.25" customHeight="1">
      <c r="K945" s="1"/>
      <c r="N945" s="1"/>
      <c r="O945" s="2"/>
    </row>
    <row r="946" spans="11:15" ht="17.25" customHeight="1">
      <c r="K946" s="1"/>
      <c r="N946" s="1"/>
      <c r="O946" s="2"/>
    </row>
    <row r="947" spans="11:15" ht="17.25" customHeight="1">
      <c r="K947" s="1"/>
      <c r="N947" s="1"/>
      <c r="O947" s="2"/>
    </row>
    <row r="948" spans="11:15" ht="17.25" customHeight="1">
      <c r="K948" s="1"/>
      <c r="N948" s="1"/>
      <c r="O948" s="2"/>
    </row>
    <row r="949" spans="11:15" ht="17.25" customHeight="1">
      <c r="K949" s="1"/>
      <c r="N949" s="1"/>
      <c r="O949" s="2"/>
    </row>
    <row r="950" spans="11:15" ht="17.25" customHeight="1">
      <c r="K950" s="1"/>
      <c r="N950" s="1"/>
      <c r="O950" s="2"/>
    </row>
    <row r="951" spans="11:15" ht="17.25" customHeight="1">
      <c r="K951" s="1"/>
      <c r="N951" s="1"/>
      <c r="O951" s="2"/>
    </row>
    <row r="952" spans="11:15" ht="17.25" customHeight="1">
      <c r="K952" s="1"/>
      <c r="N952" s="1"/>
      <c r="O952" s="2"/>
    </row>
    <row r="953" spans="11:15" ht="17.25" customHeight="1">
      <c r="K953" s="1"/>
      <c r="N953" s="1"/>
      <c r="O953" s="2"/>
    </row>
    <row r="954" spans="11:15" ht="17.25" customHeight="1">
      <c r="K954" s="1"/>
      <c r="N954" s="1"/>
      <c r="O954" s="2"/>
    </row>
    <row r="955" spans="11:15" ht="17.25" customHeight="1">
      <c r="K955" s="1"/>
      <c r="N955" s="1"/>
      <c r="O955" s="2"/>
    </row>
    <row r="956" spans="11:15" ht="17.25" customHeight="1">
      <c r="K956" s="1"/>
      <c r="N956" s="1"/>
      <c r="O956" s="2"/>
    </row>
    <row r="957" spans="11:15" ht="17.25" customHeight="1">
      <c r="K957" s="1"/>
      <c r="N957" s="1"/>
      <c r="O957" s="2"/>
    </row>
    <row r="958" spans="11:15" ht="17.25" customHeight="1">
      <c r="K958" s="1"/>
      <c r="N958" s="1"/>
      <c r="O958" s="2"/>
    </row>
    <row r="959" spans="11:15" ht="17.25" customHeight="1">
      <c r="K959" s="1"/>
      <c r="N959" s="1"/>
      <c r="O959" s="2"/>
    </row>
    <row r="960" spans="11:15" ht="17.25" customHeight="1">
      <c r="K960" s="1"/>
      <c r="N960" s="1"/>
      <c r="O960" s="2"/>
    </row>
    <row r="961" spans="11:15" ht="17.25" customHeight="1">
      <c r="K961" s="1"/>
      <c r="N961" s="1"/>
      <c r="O961" s="2"/>
    </row>
    <row r="962" spans="11:15" ht="17.25" customHeight="1">
      <c r="K962" s="1"/>
      <c r="N962" s="1"/>
      <c r="O962" s="2"/>
    </row>
    <row r="963" spans="11:15" ht="17.25" customHeight="1">
      <c r="K963" s="1"/>
      <c r="N963" s="1"/>
      <c r="O963" s="2"/>
    </row>
    <row r="964" spans="11:15" ht="17.25" customHeight="1">
      <c r="K964" s="1"/>
      <c r="N964" s="1"/>
      <c r="O964" s="2"/>
    </row>
    <row r="965" spans="11:15" ht="17.25" customHeight="1">
      <c r="K965" s="1"/>
      <c r="N965" s="1"/>
      <c r="O965" s="2"/>
    </row>
    <row r="966" spans="11:15" ht="17.25" customHeight="1">
      <c r="K966" s="1"/>
      <c r="N966" s="1"/>
      <c r="O966" s="2"/>
    </row>
    <row r="967" spans="11:15" ht="17.25" customHeight="1">
      <c r="K967" s="1"/>
      <c r="N967" s="1"/>
      <c r="O967" s="2"/>
    </row>
    <row r="968" spans="11:15" ht="17.25" customHeight="1">
      <c r="K968" s="1"/>
      <c r="N968" s="1"/>
      <c r="O968" s="2"/>
    </row>
    <row r="969" spans="11:15" ht="17.25" customHeight="1">
      <c r="K969" s="1"/>
      <c r="N969" s="1"/>
      <c r="O969" s="2"/>
    </row>
    <row r="970" spans="11:15" ht="17.25" customHeight="1">
      <c r="K970" s="1"/>
      <c r="N970" s="1"/>
      <c r="O970" s="2"/>
    </row>
    <row r="971" spans="11:15" ht="17.25" customHeight="1">
      <c r="K971" s="1"/>
      <c r="N971" s="1"/>
      <c r="O971" s="2"/>
    </row>
    <row r="972" spans="11:15" ht="17.25" customHeight="1">
      <c r="K972" s="1"/>
      <c r="N972" s="1"/>
      <c r="O972" s="2"/>
    </row>
    <row r="973" spans="11:15" ht="17.25" customHeight="1">
      <c r="K973" s="1"/>
      <c r="N973" s="1"/>
      <c r="O973" s="2"/>
    </row>
    <row r="974" spans="11:15" ht="17.25" customHeight="1">
      <c r="K974" s="1"/>
      <c r="N974" s="1"/>
      <c r="O974" s="2"/>
    </row>
    <row r="975" spans="11:15" ht="17.25" customHeight="1">
      <c r="K975" s="1"/>
      <c r="N975" s="1"/>
      <c r="O975" s="2"/>
    </row>
    <row r="976" spans="11:15" ht="17.25" customHeight="1">
      <c r="K976" s="1"/>
      <c r="N976" s="1"/>
      <c r="O976" s="2"/>
    </row>
    <row r="977" spans="11:15" ht="17.25" customHeight="1">
      <c r="K977" s="1"/>
      <c r="N977" s="1"/>
      <c r="O977" s="2"/>
    </row>
    <row r="978" spans="11:15" ht="17.25" customHeight="1">
      <c r="K978" s="1"/>
      <c r="N978" s="1"/>
      <c r="O978" s="2"/>
    </row>
    <row r="979" spans="11:15" ht="17.25" customHeight="1">
      <c r="K979" s="1"/>
      <c r="N979" s="1"/>
      <c r="O979" s="2"/>
    </row>
    <row r="980" spans="11:15" ht="17.25" customHeight="1">
      <c r="K980" s="1"/>
      <c r="N980" s="1"/>
      <c r="O980" s="2"/>
    </row>
    <row r="981" spans="11:15" ht="17.25" customHeight="1">
      <c r="K981" s="1"/>
      <c r="N981" s="1"/>
      <c r="O981" s="2"/>
    </row>
    <row r="982" spans="11:15" ht="17.25" customHeight="1">
      <c r="K982" s="1"/>
      <c r="N982" s="1"/>
      <c r="O982" s="2"/>
    </row>
    <row r="983" spans="11:15" ht="17.25" customHeight="1">
      <c r="K983" s="1"/>
      <c r="N983" s="1"/>
      <c r="O983" s="2"/>
    </row>
    <row r="984" spans="11:15" ht="17.25" customHeight="1">
      <c r="K984" s="1"/>
      <c r="N984" s="1"/>
      <c r="O984" s="2"/>
    </row>
    <row r="985" spans="11:15" ht="17.25" customHeight="1">
      <c r="K985" s="1"/>
      <c r="N985" s="1"/>
      <c r="O985" s="2"/>
    </row>
    <row r="986" spans="11:15" ht="17.25" customHeight="1">
      <c r="K986" s="1"/>
      <c r="N986" s="1"/>
      <c r="O986" s="2"/>
    </row>
    <row r="987" spans="11:15" ht="17.25" customHeight="1">
      <c r="K987" s="1"/>
      <c r="N987" s="1"/>
      <c r="O987" s="2"/>
    </row>
    <row r="988" spans="11:15" ht="17.25" customHeight="1">
      <c r="K988" s="1"/>
      <c r="N988" s="1"/>
      <c r="O988" s="2"/>
    </row>
    <row r="989" spans="11:15" ht="17.25" customHeight="1">
      <c r="K989" s="1"/>
      <c r="N989" s="1"/>
      <c r="O989" s="2"/>
    </row>
    <row r="990" spans="11:15" ht="17.25" customHeight="1">
      <c r="K990" s="1"/>
      <c r="N990" s="1"/>
      <c r="O990" s="2"/>
    </row>
    <row r="991" spans="11:15" ht="17.25" customHeight="1">
      <c r="K991" s="1"/>
      <c r="N991" s="1"/>
      <c r="O991" s="2"/>
    </row>
    <row r="992" spans="11:15" ht="17.25" customHeight="1">
      <c r="K992" s="1"/>
      <c r="N992" s="1"/>
      <c r="O992" s="2"/>
    </row>
    <row r="993" spans="11:15" ht="17.25" customHeight="1">
      <c r="K993" s="1"/>
      <c r="N993" s="1"/>
      <c r="O993" s="2"/>
    </row>
    <row r="994" spans="11:15" ht="17.25" customHeight="1">
      <c r="K994" s="1"/>
      <c r="N994" s="1"/>
      <c r="O994" s="2"/>
    </row>
    <row r="995" spans="11:15" ht="17.25" customHeight="1">
      <c r="K995" s="1"/>
      <c r="N995" s="1"/>
      <c r="O995" s="2"/>
    </row>
    <row r="996" spans="11:15" ht="17.25" customHeight="1">
      <c r="K996" s="1"/>
      <c r="N996" s="1"/>
      <c r="O996" s="2"/>
    </row>
    <row r="997" spans="11:15" ht="17.25" customHeight="1">
      <c r="K997" s="1"/>
      <c r="N997" s="1"/>
      <c r="O997" s="2"/>
    </row>
    <row r="998" spans="11:15" ht="17.25" customHeight="1">
      <c r="K998" s="1"/>
      <c r="N998" s="1"/>
      <c r="O998" s="2"/>
    </row>
    <row r="999" spans="11:15" ht="17.25" customHeight="1">
      <c r="K999" s="1"/>
      <c r="N999" s="1"/>
      <c r="O999" s="2"/>
    </row>
    <row r="1000" spans="11:15" ht="17.25" customHeight="1">
      <c r="K1000" s="1"/>
      <c r="N1000" s="1"/>
      <c r="O1000" s="2"/>
    </row>
    <row r="1001" spans="11:15" ht="17.25" customHeight="1">
      <c r="K1001" s="1"/>
      <c r="N1001" s="1"/>
      <c r="O1001" s="2"/>
    </row>
    <row r="1002" spans="11:15" ht="17.25" customHeight="1">
      <c r="K1002" s="1"/>
      <c r="N1002" s="1"/>
      <c r="O1002" s="2"/>
    </row>
    <row r="1003" spans="11:15" ht="17.25" customHeight="1">
      <c r="K1003" s="1"/>
      <c r="N1003" s="1"/>
      <c r="O1003" s="2"/>
    </row>
    <row r="1004" spans="11:15" ht="17.25" customHeight="1">
      <c r="K1004" s="1"/>
      <c r="N1004" s="1"/>
      <c r="O1004" s="2"/>
    </row>
    <row r="1005" spans="11:15" ht="17.25" customHeight="1">
      <c r="K1005" s="1"/>
      <c r="N1005" s="1"/>
      <c r="O1005" s="2"/>
    </row>
    <row r="1006" spans="11:15" ht="17.25" customHeight="1">
      <c r="K1006" s="1"/>
      <c r="N1006" s="1"/>
      <c r="O1006" s="2"/>
    </row>
    <row r="1007" spans="11:15" ht="17.25" customHeight="1">
      <c r="K1007" s="1"/>
      <c r="N1007" s="1"/>
      <c r="O1007" s="2"/>
    </row>
    <row r="1008" spans="11:15" ht="17.25" customHeight="1">
      <c r="K1008" s="1"/>
      <c r="N1008" s="1"/>
      <c r="O1008" s="2"/>
    </row>
    <row r="1009" spans="11:15" ht="17.25" customHeight="1">
      <c r="K1009" s="1"/>
      <c r="N1009" s="1"/>
      <c r="O1009" s="2"/>
    </row>
    <row r="1010" spans="11:15" ht="17.25" customHeight="1">
      <c r="K1010" s="1"/>
      <c r="N1010" s="1"/>
      <c r="O1010" s="2"/>
    </row>
    <row r="1011" spans="11:15" ht="17.25" customHeight="1">
      <c r="K1011" s="1"/>
      <c r="N1011" s="1"/>
      <c r="O1011" s="2"/>
    </row>
    <row r="1012" spans="11:15" ht="17.25" customHeight="1">
      <c r="K1012" s="1"/>
      <c r="N1012" s="1"/>
      <c r="O1012" s="2"/>
    </row>
    <row r="1013" spans="11:15" ht="17.25" customHeight="1">
      <c r="K1013" s="1"/>
      <c r="N1013" s="1"/>
      <c r="O1013" s="2"/>
    </row>
    <row r="1014" spans="11:15" ht="17.25" customHeight="1">
      <c r="K1014" s="1"/>
      <c r="N1014" s="1"/>
      <c r="O1014" s="2"/>
    </row>
    <row r="1015" spans="11:15" ht="17.25" customHeight="1">
      <c r="K1015" s="1"/>
      <c r="N1015" s="1"/>
      <c r="O1015" s="2"/>
    </row>
    <row r="1016" spans="11:15" ht="17.25" customHeight="1">
      <c r="K1016" s="1"/>
      <c r="N1016" s="1"/>
      <c r="O1016" s="2"/>
    </row>
    <row r="1017" spans="11:15" ht="17.25" customHeight="1">
      <c r="K1017" s="1"/>
      <c r="N1017" s="1"/>
      <c r="O1017" s="2"/>
    </row>
    <row r="1018" spans="11:15" ht="17.25" customHeight="1">
      <c r="K1018" s="1"/>
      <c r="N1018" s="1"/>
      <c r="O1018" s="2"/>
    </row>
    <row r="1019" spans="11:15" ht="17.25" customHeight="1">
      <c r="K1019" s="1"/>
      <c r="N1019" s="1"/>
      <c r="O1019" s="2"/>
    </row>
    <row r="1020" spans="11:15" ht="17.25" customHeight="1">
      <c r="K1020" s="1"/>
      <c r="N1020" s="1"/>
      <c r="O1020" s="2"/>
    </row>
    <row r="1021" spans="11:15" ht="17.25" customHeight="1">
      <c r="K1021" s="1"/>
      <c r="N1021" s="1"/>
      <c r="O1021" s="2"/>
    </row>
    <row r="1022" spans="11:15" ht="17.25" customHeight="1">
      <c r="K1022" s="1"/>
      <c r="N1022" s="1"/>
      <c r="O1022" s="2"/>
    </row>
    <row r="1023" spans="11:15" ht="17.25" customHeight="1">
      <c r="K1023" s="1"/>
      <c r="N1023" s="1"/>
      <c r="O1023" s="2"/>
    </row>
    <row r="1024" spans="11:15" ht="17.25" customHeight="1">
      <c r="K1024" s="1"/>
      <c r="N1024" s="1"/>
      <c r="O1024" s="2"/>
    </row>
    <row r="1025" spans="11:15" ht="17.25" customHeight="1">
      <c r="K1025" s="1"/>
      <c r="N1025" s="1"/>
      <c r="O1025" s="2"/>
    </row>
    <row r="1026" spans="11:15" ht="17.25" customHeight="1">
      <c r="K1026" s="1"/>
      <c r="N1026" s="1"/>
      <c r="O1026" s="2"/>
    </row>
    <row r="1027" spans="11:15" ht="17.25" customHeight="1">
      <c r="K1027" s="1"/>
      <c r="N1027" s="1"/>
      <c r="O1027" s="2"/>
    </row>
    <row r="1028" spans="11:15" ht="17.25" customHeight="1">
      <c r="K1028" s="1"/>
      <c r="N1028" s="1"/>
      <c r="O1028" s="2"/>
    </row>
    <row r="1029" spans="11:15" ht="17.25" customHeight="1">
      <c r="K1029" s="1"/>
      <c r="N1029" s="1"/>
      <c r="O1029" s="2"/>
    </row>
    <row r="1030" spans="11:15" ht="17.25" customHeight="1">
      <c r="K1030" s="1"/>
      <c r="N1030" s="1"/>
      <c r="O1030" s="2"/>
    </row>
    <row r="1031" spans="11:15" ht="17.25" customHeight="1">
      <c r="K1031" s="1"/>
      <c r="N1031" s="1"/>
      <c r="O1031" s="2"/>
    </row>
    <row r="1032" spans="11:15" ht="17.25" customHeight="1">
      <c r="K1032" s="1"/>
      <c r="N1032" s="1"/>
      <c r="O1032" s="2"/>
    </row>
    <row r="1033" spans="11:15" ht="17.25" customHeight="1">
      <c r="K1033" s="1"/>
      <c r="N1033" s="1"/>
      <c r="O1033" s="2"/>
    </row>
    <row r="1034" spans="11:15" ht="17.25" customHeight="1">
      <c r="K1034" s="1"/>
      <c r="N1034" s="1"/>
      <c r="O1034" s="2"/>
    </row>
    <row r="1035" spans="11:15" ht="17.25" customHeight="1">
      <c r="K1035" s="1"/>
      <c r="N1035" s="1"/>
      <c r="O1035" s="2"/>
    </row>
    <row r="1036" spans="11:15" ht="17.25" customHeight="1">
      <c r="K1036" s="1"/>
      <c r="N1036" s="1"/>
      <c r="O1036" s="2"/>
    </row>
    <row r="1037" spans="11:15" ht="17.25" customHeight="1">
      <c r="K1037" s="1"/>
      <c r="N1037" s="1"/>
      <c r="O1037" s="2"/>
    </row>
    <row r="1038" spans="11:15" ht="17.25" customHeight="1">
      <c r="K1038" s="1"/>
      <c r="N1038" s="1"/>
      <c r="O1038" s="2"/>
    </row>
    <row r="1039" spans="11:15" ht="17.25" customHeight="1">
      <c r="K1039" s="1"/>
      <c r="N1039" s="1"/>
      <c r="O1039" s="2"/>
    </row>
    <row r="1040" spans="11:15" ht="17.25" customHeight="1">
      <c r="K1040" s="1"/>
      <c r="N1040" s="1"/>
      <c r="O1040" s="2"/>
    </row>
    <row r="1041" spans="11:15" ht="17.25" customHeight="1">
      <c r="K1041" s="1"/>
      <c r="N1041" s="1"/>
      <c r="O1041" s="2"/>
    </row>
    <row r="1042" spans="11:15" ht="17.25" customHeight="1">
      <c r="K1042" s="1"/>
      <c r="N1042" s="1"/>
      <c r="O1042" s="2"/>
    </row>
    <row r="1043" spans="11:15" ht="17.25" customHeight="1">
      <c r="K1043" s="1"/>
      <c r="N1043" s="1"/>
      <c r="O1043" s="2"/>
    </row>
    <row r="1044" spans="11:15" ht="17.25" customHeight="1">
      <c r="K1044" s="1"/>
      <c r="N1044" s="1"/>
      <c r="O1044" s="2"/>
    </row>
    <row r="1045" spans="11:15" ht="17.25" customHeight="1">
      <c r="K1045" s="1"/>
      <c r="N1045" s="1"/>
      <c r="O1045" s="2"/>
    </row>
    <row r="1046" spans="11:15" ht="17.25" customHeight="1">
      <c r="K1046" s="1"/>
      <c r="N1046" s="1"/>
      <c r="O1046" s="2"/>
    </row>
    <row r="1047" spans="11:15" ht="17.25" customHeight="1">
      <c r="K1047" s="1"/>
      <c r="N1047" s="1"/>
      <c r="O1047" s="2"/>
    </row>
    <row r="1048" spans="11:15" ht="14.4">
      <c r="O1048" s="27"/>
    </row>
    <row r="1049" spans="11:15" ht="14.4">
      <c r="O1049" s="27"/>
    </row>
    <row r="1050" spans="11:15" ht="14.4">
      <c r="O1050" s="27"/>
    </row>
  </sheetData>
  <mergeCells count="29">
    <mergeCell ref="B95:B99"/>
    <mergeCell ref="C95:C99"/>
    <mergeCell ref="B107:C107"/>
    <mergeCell ref="B109:B113"/>
    <mergeCell ref="C109:C113"/>
    <mergeCell ref="C55:C60"/>
    <mergeCell ref="B63:F63"/>
    <mergeCell ref="B89:B93"/>
    <mergeCell ref="C89:C93"/>
    <mergeCell ref="B94:F94"/>
    <mergeCell ref="B55:B60"/>
    <mergeCell ref="B64:B69"/>
    <mergeCell ref="C64:C69"/>
    <mergeCell ref="B71:B79"/>
    <mergeCell ref="C71:C79"/>
    <mergeCell ref="B81:B87"/>
    <mergeCell ref="C81:C87"/>
    <mergeCell ref="C27:C34"/>
    <mergeCell ref="B27:B34"/>
    <mergeCell ref="B36:B41"/>
    <mergeCell ref="C36:C41"/>
    <mergeCell ref="B43:B52"/>
    <mergeCell ref="C43:C52"/>
    <mergeCell ref="K2:N2"/>
    <mergeCell ref="O2:O4"/>
    <mergeCell ref="B5:B15"/>
    <mergeCell ref="C5:C15"/>
    <mergeCell ref="B17:B25"/>
    <mergeCell ref="C17:C25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4BA58-1D63-466A-85BD-3799E887657F}">
  <dimension ref="A1:J48"/>
  <sheetViews>
    <sheetView tabSelected="1" topLeftCell="A31" zoomScale="90" zoomScaleNormal="90" workbookViewId="0">
      <selection activeCell="A47" sqref="A47"/>
    </sheetView>
  </sheetViews>
  <sheetFormatPr defaultRowHeight="14.4"/>
  <cols>
    <col min="1" max="1" width="20.33203125" customWidth="1"/>
    <col min="2" max="2" width="19.44140625" customWidth="1"/>
    <col min="3" max="3" width="13.88671875" customWidth="1"/>
    <col min="4" max="4" width="28.6640625" customWidth="1"/>
    <col min="5" max="5" width="11.109375" customWidth="1"/>
    <col min="6" max="8" width="14.77734375" customWidth="1"/>
    <col min="9" max="9" width="19.44140625" customWidth="1"/>
    <col min="10" max="10" width="13" customWidth="1"/>
  </cols>
  <sheetData>
    <row r="1" spans="1:10" ht="36" customHeight="1">
      <c r="A1" s="204"/>
      <c r="B1" s="204" t="s">
        <v>85</v>
      </c>
      <c r="C1" s="204" t="s">
        <v>86</v>
      </c>
      <c r="D1" s="204" t="s">
        <v>87</v>
      </c>
      <c r="E1" s="204" t="s">
        <v>88</v>
      </c>
      <c r="F1" s="204" t="s">
        <v>89</v>
      </c>
      <c r="G1" s="204" t="s">
        <v>90</v>
      </c>
      <c r="H1" s="204" t="s">
        <v>8</v>
      </c>
      <c r="I1" s="204" t="s">
        <v>91</v>
      </c>
      <c r="J1" s="204" t="s">
        <v>92</v>
      </c>
    </row>
    <row r="2" spans="1:10" ht="22.05" customHeight="1">
      <c r="A2" s="216" t="s">
        <v>12</v>
      </c>
      <c r="B2" s="306">
        <f ca="1">'1. 투자 현황(현재)'!C5</f>
        <v>113724104</v>
      </c>
      <c r="C2" s="178" t="str">
        <f>'1. 투자 현황(현재)'!E5</f>
        <v>442580</v>
      </c>
      <c r="D2" s="179" t="str">
        <f>'1. 투자 현황(현재)'!F5</f>
        <v>Plus HBM 글로벌 반도체</v>
      </c>
      <c r="E2" s="177">
        <f>'1. 투자 현황(현재)'!G5</f>
        <v>1847</v>
      </c>
      <c r="F2" s="180">
        <f>'1. 투자 현황(현재)'!H5</f>
        <v>111566</v>
      </c>
      <c r="G2" s="180">
        <v>61209.27</v>
      </c>
      <c r="H2" s="180">
        <f ca="1">'1. 투자 현황(현재)'!K5</f>
        <v>127675</v>
      </c>
      <c r="I2" s="180">
        <f ca="1">'1. 투자 현황(현재)'!L5</f>
        <v>235815725</v>
      </c>
      <c r="J2" s="181">
        <f ca="1">'1. 투자 현황(현재)'!N5</f>
        <v>0.14438986788089561</v>
      </c>
    </row>
    <row r="3" spans="1:10" ht="22.05" customHeight="1">
      <c r="A3" s="217"/>
      <c r="B3" s="307"/>
      <c r="C3" s="178" t="str">
        <f>'1. 투자 현황(현재)'!E6</f>
        <v>0162Z0</v>
      </c>
      <c r="D3" s="179" t="str">
        <f>'1. 투자 현황(현재)'!F6</f>
        <v>RISE 삼성하이닉스채권</v>
      </c>
      <c r="E3" s="180">
        <f>'1. 투자 현황(현재)'!G6</f>
        <v>6558</v>
      </c>
      <c r="F3" s="180">
        <f>'1. 투자 현황(현재)'!H6</f>
        <v>11558</v>
      </c>
      <c r="G3" s="180"/>
      <c r="H3" s="180">
        <f ca="1">'1. 투자 현황(현재)'!K6</f>
        <v>15205</v>
      </c>
      <c r="I3" s="180">
        <f ca="1">'1. 투자 현황(현재)'!L6</f>
        <v>99714390</v>
      </c>
      <c r="J3" s="181">
        <f ca="1">'1. 투자 현황(현재)'!N6</f>
        <v>0.31553902059179789</v>
      </c>
    </row>
    <row r="4" spans="1:10" ht="22.05" customHeight="1">
      <c r="A4" s="217"/>
      <c r="B4" s="307"/>
      <c r="C4" s="178" t="str">
        <f>'1. 투자 현황(현재)'!E10</f>
        <v>458730</v>
      </c>
      <c r="D4" s="179" t="str">
        <f>'1. 투자 현황(현재)'!F10</f>
        <v>미국배당 다우존스</v>
      </c>
      <c r="E4" s="180">
        <f>'1. 투자 현황(현재)'!G10</f>
        <v>8</v>
      </c>
      <c r="F4" s="180">
        <f>'1. 투자 현황(현재)'!H10</f>
        <v>10805</v>
      </c>
      <c r="G4" s="180"/>
      <c r="H4" s="180">
        <f ca="1">'1. 투자 현황(현재)'!K10</f>
        <v>15405</v>
      </c>
      <c r="I4" s="180">
        <f ca="1">'1. 투자 현황(현재)'!L10</f>
        <v>123240</v>
      </c>
      <c r="J4" s="181">
        <f ca="1">'1. 투자 현황(현재)'!N10</f>
        <v>0.42572882924571959</v>
      </c>
    </row>
    <row r="5" spans="1:10" ht="22.05" customHeight="1">
      <c r="A5" s="218"/>
      <c r="B5" s="308"/>
      <c r="C5" s="178" t="str">
        <f>'1. 투자 현황(현재)'!E11</f>
        <v>483280</v>
      </c>
      <c r="D5" s="179" t="str">
        <f>'1. 투자 현황(현재)'!F11</f>
        <v>Kodex AI Top TOP 커버드</v>
      </c>
      <c r="E5" s="180">
        <f>'1. 투자 현황(현재)'!G11</f>
        <v>1</v>
      </c>
      <c r="F5" s="180">
        <f>'1. 투자 현황(현재)'!H11</f>
        <v>11005</v>
      </c>
      <c r="G5" s="180"/>
      <c r="H5" s="180">
        <f ca="1">'1. 투자 현황(현재)'!K11</f>
        <v>13815</v>
      </c>
      <c r="I5" s="180">
        <f ca="1">'1. 투자 현황(현재)'!L11</f>
        <v>13815</v>
      </c>
      <c r="J5" s="181">
        <f ca="1">'1. 투자 현황(현재)'!N11</f>
        <v>0.25533848250795094</v>
      </c>
    </row>
    <row r="6" spans="1:10" ht="24" customHeight="1">
      <c r="A6" s="243" t="s">
        <v>94</v>
      </c>
      <c r="B6" s="244"/>
      <c r="C6" s="219"/>
      <c r="D6" s="220"/>
      <c r="E6" s="221"/>
      <c r="F6" s="221"/>
      <c r="G6" s="221"/>
      <c r="H6" s="221"/>
      <c r="I6" s="222">
        <f ca="1">SUM(I2:I5)</f>
        <v>335667170</v>
      </c>
      <c r="J6" s="223">
        <f ca="1">(I6-B2)/B2</f>
        <v>1.9515921268546552</v>
      </c>
    </row>
    <row r="7" spans="1:10" ht="22.05" customHeight="1">
      <c r="A7" s="213" t="s">
        <v>25</v>
      </c>
      <c r="B7" s="309">
        <f ca="1">'1. 투자 현황(현재)'!C17</f>
        <v>16391196</v>
      </c>
      <c r="C7" s="182" t="str">
        <f>'1. 투자 현황(현재)'!E17</f>
        <v>442580</v>
      </c>
      <c r="D7" s="183" t="str">
        <f>'1. 투자 현황(현재)'!F17</f>
        <v>Plus HBM 글로벌 반도체</v>
      </c>
      <c r="E7" s="184">
        <f>'1. 투자 현황(현재)'!G17</f>
        <v>586</v>
      </c>
      <c r="F7" s="184">
        <f>'1. 투자 현황(현재)'!H17</f>
        <v>121729</v>
      </c>
      <c r="G7" s="184">
        <v>61209.27</v>
      </c>
      <c r="H7" s="184">
        <f ca="1">'1. 투자 현황(현재)'!K17</f>
        <v>127675</v>
      </c>
      <c r="I7" s="184">
        <f ca="1">'1. 투자 현황(현재)'!L17</f>
        <v>74817550</v>
      </c>
      <c r="J7" s="185">
        <f ca="1">'1. 투자 현황(현재)'!N17</f>
        <v>4.8846207559414767E-2</v>
      </c>
    </row>
    <row r="8" spans="1:10" ht="22.05" customHeight="1">
      <c r="A8" s="214"/>
      <c r="B8" s="310"/>
      <c r="C8" s="182" t="str">
        <f>'1. 투자 현황(현재)'!E18</f>
        <v>0177R0</v>
      </c>
      <c r="D8" s="183" t="str">
        <f>'1. 투자 현황(현재)'!F18</f>
        <v>TIGER 반도체TOP10 커버드콜</v>
      </c>
      <c r="E8" s="184">
        <f>'1. 투자 현황(현재)'!G18</f>
        <v>8</v>
      </c>
      <c r="F8" s="184">
        <f>'1. 투자 현황(현재)'!H18</f>
        <v>12976</v>
      </c>
      <c r="G8" s="184"/>
      <c r="H8" s="184">
        <f ca="1">'1. 투자 현황(현재)'!K18</f>
        <v>15610</v>
      </c>
      <c r="I8" s="184">
        <f ca="1">'1. 투자 현황(현재)'!L18</f>
        <v>124880</v>
      </c>
      <c r="J8" s="185">
        <f ca="1">'1. 투자 현황(현재)'!N18</f>
        <v>0.2029901356350185</v>
      </c>
    </row>
    <row r="9" spans="1:10" ht="22.05" customHeight="1">
      <c r="A9" s="214"/>
      <c r="B9" s="310"/>
      <c r="C9" s="182" t="str">
        <f>'1. 투자 현황(현재)'!E19</f>
        <v>458730</v>
      </c>
      <c r="D9" s="183" t="str">
        <f>'1. 투자 현황(현재)'!F19</f>
        <v>미국배당 다우존스</v>
      </c>
      <c r="E9" s="184">
        <f>'1. 투자 현황(현재)'!G19</f>
        <v>3</v>
      </c>
      <c r="F9" s="184">
        <f>'1. 투자 현황(현재)'!H19</f>
        <v>10827</v>
      </c>
      <c r="G9" s="184"/>
      <c r="H9" s="184">
        <f ca="1">'1. 투자 현황(현재)'!K19</f>
        <v>15405</v>
      </c>
      <c r="I9" s="184">
        <f ca="1">'1. 투자 현황(현재)'!L19</f>
        <v>46215</v>
      </c>
      <c r="J9" s="185">
        <f ca="1">'1. 투자 현황(현재)'!N19</f>
        <v>0.42283180936547521</v>
      </c>
    </row>
    <row r="10" spans="1:10" ht="22.05" customHeight="1">
      <c r="A10" s="215"/>
      <c r="B10" s="311"/>
      <c r="C10" s="182" t="str">
        <f>'1. 투자 현황(현재)'!E20</f>
        <v>0162Z0</v>
      </c>
      <c r="D10" s="183" t="str">
        <f>'1. 투자 현황(현재)'!F20</f>
        <v>RISE 삼성하이닉스채권</v>
      </c>
      <c r="E10" s="184">
        <f>'1. 투자 현황(현재)'!G20</f>
        <v>1</v>
      </c>
      <c r="F10" s="184">
        <f>'1. 투자 현황(현재)'!H20</f>
        <v>11005</v>
      </c>
      <c r="G10" s="184"/>
      <c r="H10" s="184">
        <f ca="1">'1. 투자 현황(현재)'!K20</f>
        <v>15205</v>
      </c>
      <c r="I10" s="184">
        <f ca="1">'1. 투자 현황(현재)'!L20</f>
        <v>15205</v>
      </c>
      <c r="J10" s="185">
        <f ca="1">'1. 투자 현황(현재)'!N20</f>
        <v>0.38164470695138575</v>
      </c>
    </row>
    <row r="11" spans="1:10" ht="24" customHeight="1">
      <c r="A11" s="245" t="s">
        <v>94</v>
      </c>
      <c r="B11" s="246"/>
      <c r="C11" s="224"/>
      <c r="D11" s="225"/>
      <c r="E11" s="226"/>
      <c r="F11" s="226"/>
      <c r="G11" s="226"/>
      <c r="H11" s="226"/>
      <c r="I11" s="227">
        <f ca="1">SUM(I7:I10)</f>
        <v>75003850</v>
      </c>
      <c r="J11" s="228">
        <f ca="1">(I11-B7)/B7</f>
        <v>3.5758619444243118</v>
      </c>
    </row>
    <row r="12" spans="1:10" ht="22.05" customHeight="1">
      <c r="A12" s="210" t="s">
        <v>28</v>
      </c>
      <c r="B12" s="312">
        <f ca="1">'1. 투자 현황(현재)'!C27</f>
        <v>14550000</v>
      </c>
      <c r="C12" s="186" t="str">
        <f>'1. 투자 현황(현재)'!E27</f>
        <v>442580</v>
      </c>
      <c r="D12" s="187" t="str">
        <f>'1. 투자 현황(현재)'!F27</f>
        <v>Plus HBM 글로벌 반도체</v>
      </c>
      <c r="E12" s="188">
        <f>'1. 투자 현황(현재)'!G27</f>
        <v>302</v>
      </c>
      <c r="F12" s="188">
        <f>'1. 투자 현황(현재)'!H27</f>
        <v>121080</v>
      </c>
      <c r="G12" s="188">
        <v>61209.27</v>
      </c>
      <c r="H12" s="188">
        <f ca="1">'1. 투자 현황(현재)'!K27</f>
        <v>127675</v>
      </c>
      <c r="I12" s="188">
        <f ca="1">'1. 투자 현황(현재)'!L27</f>
        <v>38557850</v>
      </c>
      <c r="J12" s="189">
        <f ca="1">'1. 투자 현황(현재)'!N27</f>
        <v>5.4468120251073671E-2</v>
      </c>
    </row>
    <row r="13" spans="1:10" ht="22.05" customHeight="1">
      <c r="A13" s="211"/>
      <c r="B13" s="313"/>
      <c r="C13" s="186" t="str">
        <f>'1. 투자 현황(현재)'!E28</f>
        <v>0177R0</v>
      </c>
      <c r="D13" s="187" t="str">
        <f>'1. 투자 현황(현재)'!F28</f>
        <v>TIGER 반도체TOP10 커버드콜</v>
      </c>
      <c r="E13" s="188">
        <f>'1. 투자 현황(현재)'!G28</f>
        <v>15</v>
      </c>
      <c r="F13" s="188">
        <f>'1. 투자 현황(현재)'!H28</f>
        <v>12950</v>
      </c>
      <c r="G13" s="188"/>
      <c r="H13" s="188">
        <f ca="1">'1. 투자 현황(현재)'!K28</f>
        <v>15610</v>
      </c>
      <c r="I13" s="188">
        <f ca="1">'1. 투자 현황(현재)'!L28</f>
        <v>234150</v>
      </c>
      <c r="J13" s="189">
        <f ca="1">'1. 투자 현황(현재)'!N28</f>
        <v>0.20540540540540542</v>
      </c>
    </row>
    <row r="14" spans="1:10" ht="22.05" customHeight="1">
      <c r="A14" s="211"/>
      <c r="B14" s="313"/>
      <c r="C14" s="186" t="str">
        <f>'1. 투자 현황(현재)'!E29</f>
        <v>458730</v>
      </c>
      <c r="D14" s="187" t="str">
        <f>'1. 투자 현황(현재)'!F29</f>
        <v>미국배당 다우존스</v>
      </c>
      <c r="E14" s="188">
        <f>'1. 투자 현황(현재)'!G29</f>
        <v>1</v>
      </c>
      <c r="F14" s="188">
        <f>'1. 투자 현황(현재)'!H29</f>
        <v>10976</v>
      </c>
      <c r="G14" s="188"/>
      <c r="H14" s="188">
        <f ca="1">'1. 투자 현황(현재)'!K29</f>
        <v>15405</v>
      </c>
      <c r="I14" s="188">
        <f ca="1">'1. 투자 현황(현재)'!L29</f>
        <v>15405</v>
      </c>
      <c r="J14" s="189">
        <f ca="1">'1. 투자 현황(현재)'!N29</f>
        <v>0.40351676384839652</v>
      </c>
    </row>
    <row r="15" spans="1:10" ht="22.05" customHeight="1">
      <c r="A15" s="212"/>
      <c r="B15" s="314"/>
      <c r="C15" s="186" t="str">
        <f>'1. 투자 현황(현재)'!E30</f>
        <v>490090</v>
      </c>
      <c r="D15" s="187" t="str">
        <f>'1. 투자 현황(현재)'!F30</f>
        <v>TIGER AI 빅테크</v>
      </c>
      <c r="E15" s="188">
        <f>'1. 투자 현황(현재)'!G30</f>
        <v>1</v>
      </c>
      <c r="F15" s="188">
        <f>'1. 투자 현황(현재)'!H30</f>
        <v>11266</v>
      </c>
      <c r="G15" s="188"/>
      <c r="H15" s="188">
        <f ca="1">'1. 투자 현황(현재)'!K30</f>
        <v>17805</v>
      </c>
      <c r="I15" s="188">
        <f ca="1">'1. 투자 현황(현재)'!L30</f>
        <v>17805</v>
      </c>
      <c r="J15" s="189">
        <f ca="1">'1. 투자 현황(현재)'!N30</f>
        <v>0.5804189597017575</v>
      </c>
    </row>
    <row r="16" spans="1:10" ht="24" customHeight="1">
      <c r="A16" s="245" t="s">
        <v>94</v>
      </c>
      <c r="B16" s="246"/>
      <c r="C16" s="224"/>
      <c r="D16" s="225"/>
      <c r="E16" s="226"/>
      <c r="F16" s="226"/>
      <c r="G16" s="226"/>
      <c r="H16" s="226"/>
      <c r="I16" s="227">
        <f ca="1">SUM(I12:I15)</f>
        <v>38825210</v>
      </c>
      <c r="J16" s="228">
        <f ca="1">(I16-B12)/B12</f>
        <v>1.6683993127147767</v>
      </c>
    </row>
    <row r="17" spans="1:10" ht="22.05" customHeight="1">
      <c r="A17" s="208" t="s">
        <v>31</v>
      </c>
      <c r="B17" s="190">
        <f ca="1">'1. 투자 현황(현재)'!C36</f>
        <v>51504545</v>
      </c>
      <c r="C17" s="191" t="str">
        <f>'1. 투자 현황(현재)'!E37</f>
        <v>442580</v>
      </c>
      <c r="D17" s="192" t="str">
        <f>'1. 투자 현황(현재)'!F37</f>
        <v>Plus HBM 글로벌 반도체</v>
      </c>
      <c r="E17" s="193">
        <f>'1. 투자 현황(현재)'!G37</f>
        <v>717</v>
      </c>
      <c r="F17" s="193">
        <f>'1. 투자 현황(현재)'!H37</f>
        <v>111596</v>
      </c>
      <c r="G17" s="193">
        <v>61209.27</v>
      </c>
      <c r="H17" s="193">
        <f ca="1">'1. 투자 현황(현재)'!K37</f>
        <v>127675</v>
      </c>
      <c r="I17" s="193">
        <f ca="1">'1. 투자 현황(현재)'!L37</f>
        <v>91542975</v>
      </c>
      <c r="J17" s="194">
        <f ca="1">'1. 투자 현황(현재)'!N37</f>
        <v>0.14408222516936092</v>
      </c>
    </row>
    <row r="18" spans="1:10" ht="22.05" customHeight="1">
      <c r="A18" s="209"/>
      <c r="B18" s="190">
        <f ca="1">'1. 투자 현황(현재)'!C36</f>
        <v>51504545</v>
      </c>
      <c r="C18" s="191" t="str">
        <f>'1. 투자 현황(현재)'!E38</f>
        <v>0162Z0</v>
      </c>
      <c r="D18" s="192" t="str">
        <f>'1. 투자 현황(현재)'!F38</f>
        <v>RISE 삼성하이닉스채권</v>
      </c>
      <c r="E18" s="193">
        <f>'1. 투자 현황(현재)'!G38</f>
        <v>2547</v>
      </c>
      <c r="F18" s="193">
        <f>'1. 투자 현황(현재)'!H38</f>
        <v>11534</v>
      </c>
      <c r="G18" s="193"/>
      <c r="H18" s="193">
        <f ca="1">'1. 투자 현황(현재)'!K38</f>
        <v>15205</v>
      </c>
      <c r="I18" s="193">
        <f ca="1">'1. 투자 현황(현재)'!L38</f>
        <v>38727135</v>
      </c>
      <c r="J18" s="194">
        <f ca="1">'1. 투자 현황(현재)'!N38</f>
        <v>0.31827640020808046</v>
      </c>
    </row>
    <row r="19" spans="1:10" ht="24" customHeight="1">
      <c r="A19" s="247" t="s">
        <v>94</v>
      </c>
      <c r="B19" s="229"/>
      <c r="C19" s="230"/>
      <c r="D19" s="231"/>
      <c r="E19" s="232"/>
      <c r="F19" s="232"/>
      <c r="G19" s="232"/>
      <c r="H19" s="232"/>
      <c r="I19" s="233">
        <f ca="1">SUM(I17:I18)</f>
        <v>130270110</v>
      </c>
      <c r="J19" s="234">
        <f ca="1">(I19-B17)/B17</f>
        <v>1.5292934827402125</v>
      </c>
    </row>
    <row r="20" spans="1:10" ht="22.05" customHeight="1">
      <c r="A20" s="205" t="s">
        <v>34</v>
      </c>
      <c r="B20" s="195">
        <f ca="1">'1. 투자 현황(현재)'!C43</f>
        <v>2250000</v>
      </c>
      <c r="C20" s="196" t="str">
        <f>'1. 투자 현황(현재)'!E44</f>
        <v>396500</v>
      </c>
      <c r="D20" s="197" t="str">
        <f>'1. 투자 현황(현재)'!F44</f>
        <v>TIGER 반도체TOP10</v>
      </c>
      <c r="E20" s="198">
        <f>'1. 투자 현황(현재)'!G44</f>
        <v>51</v>
      </c>
      <c r="F20" s="198">
        <f>'1. 투자 현황(현재)'!H44</f>
        <v>31409</v>
      </c>
      <c r="G20" s="198"/>
      <c r="H20" s="198">
        <f ca="1">'1. 투자 현황(현재)'!K44</f>
        <v>52085</v>
      </c>
      <c r="I20" s="198">
        <f ca="1">'1. 투자 현황(현재)'!L44</f>
        <v>2656335</v>
      </c>
      <c r="J20" s="199">
        <f ca="1">'1. 투자 현황(현재)'!N44</f>
        <v>0.65828265783692574</v>
      </c>
    </row>
    <row r="21" spans="1:10" ht="22.05" customHeight="1">
      <c r="A21" s="206"/>
      <c r="B21" s="195">
        <f ca="1">'1. 투자 현황(현재)'!C43</f>
        <v>2250000</v>
      </c>
      <c r="C21" s="196" t="str">
        <f>'1. 투자 현황(현재)'!E45</f>
        <v>0162Z0</v>
      </c>
      <c r="D21" s="197" t="str">
        <f>'1. 투자 현황(현재)'!F45</f>
        <v>RISE 삼성하이닉스채권</v>
      </c>
      <c r="E21" s="198">
        <f>'1. 투자 현황(현재)'!G45</f>
        <v>72</v>
      </c>
      <c r="F21" s="198">
        <f>'1. 투자 현황(현재)'!H45</f>
        <v>11645</v>
      </c>
      <c r="G21" s="198"/>
      <c r="H21" s="198">
        <f ca="1">'1. 투자 현황(현재)'!K45</f>
        <v>15205</v>
      </c>
      <c r="I21" s="198">
        <f ca="1">'1. 투자 현황(현재)'!L45</f>
        <v>1094760</v>
      </c>
      <c r="J21" s="199">
        <f ca="1">'1. 투자 현황(현재)'!N45</f>
        <v>0.30571060541004724</v>
      </c>
    </row>
    <row r="22" spans="1:10" ht="22.05" customHeight="1">
      <c r="A22" s="206"/>
      <c r="B22" s="195">
        <f ca="1">'1. 투자 현황(현재)'!C43</f>
        <v>2250000</v>
      </c>
      <c r="C22" s="196" t="str">
        <f>'1. 투자 현황(현재)'!E46</f>
        <v>411060</v>
      </c>
      <c r="D22" s="197" t="str">
        <f>'1. 투자 현황(현재)'!F46</f>
        <v>ACE KRX 금현물</v>
      </c>
      <c r="E22" s="198">
        <f>'1. 투자 현황(현재)'!G46</f>
        <v>1</v>
      </c>
      <c r="F22" s="198">
        <f>'1. 투자 현황(현재)'!H46</f>
        <v>29680</v>
      </c>
      <c r="G22" s="198"/>
      <c r="H22" s="198">
        <f ca="1">'1. 투자 현황(현재)'!K46</f>
        <v>30175</v>
      </c>
      <c r="I22" s="198">
        <f ca="1">'1. 투자 현황(현재)'!L46</f>
        <v>30175</v>
      </c>
      <c r="J22" s="199">
        <f ca="1">'1. 투자 현황(현재)'!N46</f>
        <v>1.6677897574123988E-2</v>
      </c>
    </row>
    <row r="23" spans="1:10" ht="22.05" customHeight="1">
      <c r="A23" s="207"/>
      <c r="B23" s="195">
        <f ca="1">'1. 투자 현황(현재)'!C43</f>
        <v>2250000</v>
      </c>
      <c r="C23" s="196" t="str">
        <f>'1. 투자 현황(현재)'!E47</f>
        <v>251600</v>
      </c>
      <c r="D23" s="197" t="str">
        <f>'1. 투자 현황(현재)'!F47</f>
        <v>Plus 고배당주 채권혼합</v>
      </c>
      <c r="E23" s="198">
        <f>'1. 투자 현황(현재)'!G47</f>
        <v>1</v>
      </c>
      <c r="F23" s="198">
        <f>'1. 투자 현황(현재)'!H47</f>
        <v>14120</v>
      </c>
      <c r="G23" s="198"/>
      <c r="H23" s="198">
        <f ca="1">'1. 투자 현황(현재)'!K47</f>
        <v>15760</v>
      </c>
      <c r="I23" s="198">
        <f ca="1">'1. 투자 현황(현재)'!L47</f>
        <v>15760</v>
      </c>
      <c r="J23" s="199">
        <f ca="1">'1. 투자 현황(현재)'!N47</f>
        <v>0.11614730878186968</v>
      </c>
    </row>
    <row r="24" spans="1:10" ht="24" customHeight="1">
      <c r="A24" s="248" t="s">
        <v>94</v>
      </c>
      <c r="B24" s="235"/>
      <c r="C24" s="236"/>
      <c r="D24" s="237"/>
      <c r="E24" s="238"/>
      <c r="F24" s="238"/>
      <c r="G24" s="238"/>
      <c r="H24" s="238"/>
      <c r="I24" s="239">
        <f ca="1">SUM(I20:I23)</f>
        <v>3797030</v>
      </c>
      <c r="J24" s="240">
        <f ca="1">(I24-B20)/B20</f>
        <v>0.6875688888888889</v>
      </c>
    </row>
    <row r="25" spans="1:10" ht="24" customHeight="1">
      <c r="A25" s="200" t="s">
        <v>93</v>
      </c>
      <c r="B25" s="201">
        <f ca="1">'1. 투자 현황(현재)'!C54</f>
        <v>198419845</v>
      </c>
      <c r="C25" s="202"/>
      <c r="D25" s="202"/>
      <c r="E25" s="202"/>
      <c r="F25" s="202"/>
      <c r="G25" s="202"/>
      <c r="H25" s="202"/>
      <c r="I25" s="201">
        <f ca="1">'1. 투자 현황(현재)'!L54</f>
        <v>583563370</v>
      </c>
      <c r="J25" s="203">
        <f ca="1">'1. 투자 현황(현재)'!N54</f>
        <v>1.9410534515839382</v>
      </c>
    </row>
    <row r="26" spans="1:10" ht="22.05" customHeight="1">
      <c r="A26" s="300" t="s">
        <v>95</v>
      </c>
      <c r="B26" s="315">
        <f ca="1">'1. 투자 현황(현재)'!C55</f>
        <v>16441657</v>
      </c>
      <c r="C26" s="250" t="str">
        <f>'1. 투자 현황(현재)'!E55</f>
        <v>396500</v>
      </c>
      <c r="D26" s="251" t="str">
        <f>'1. 투자 현황(현재)'!F55</f>
        <v>TIGER 반도체 TOP10</v>
      </c>
      <c r="E26" s="249">
        <f>'1. 투자 현황(현재)'!G55</f>
        <v>569</v>
      </c>
      <c r="F26" s="249">
        <f>'1. 투자 현황(현재)'!H55</f>
        <v>30933</v>
      </c>
      <c r="G26" s="249"/>
      <c r="H26" s="249">
        <f ca="1">'1. 투자 현황(현재)'!K55</f>
        <v>52085</v>
      </c>
      <c r="I26" s="249">
        <f ca="1">'1. 투자 현황(현재)'!L55</f>
        <v>29636365</v>
      </c>
      <c r="J26" s="252">
        <f ca="1">'1. 투자 현황(현재)'!N55</f>
        <v>0.68380047198784466</v>
      </c>
    </row>
    <row r="27" spans="1:10" ht="22.05" customHeight="1">
      <c r="A27" s="301"/>
      <c r="B27" s="315">
        <f ca="1">'1. 투자 현황(현재)'!C55</f>
        <v>16441657</v>
      </c>
      <c r="C27" s="250" t="str">
        <f>'1. 투자 현황(현재)'!E56</f>
        <v>442580</v>
      </c>
      <c r="D27" s="251" t="str">
        <f>'1. 투자 현황(현재)'!F56</f>
        <v>Plus HBM 글로벌 반도체</v>
      </c>
      <c r="E27" s="249">
        <f>'1. 투자 현황(현재)'!G56</f>
        <v>405</v>
      </c>
      <c r="F27" s="249">
        <f>'1. 투자 현황(현재)'!H56</f>
        <v>124907</v>
      </c>
      <c r="G27" s="249">
        <v>61209.27</v>
      </c>
      <c r="H27" s="249">
        <f ca="1">'1. 투자 현황(현재)'!K56</f>
        <v>127675</v>
      </c>
      <c r="I27" s="249">
        <f ca="1">'1. 투자 현황(현재)'!L56</f>
        <v>51708375</v>
      </c>
      <c r="J27" s="252">
        <f ca="1">'1. 투자 현황(현재)'!N56</f>
        <v>2.2160487402627556E-2</v>
      </c>
    </row>
    <row r="28" spans="1:10" ht="22.05" customHeight="1">
      <c r="A28" s="301"/>
      <c r="B28" s="315">
        <f ca="1">'1. 투자 현황(현재)'!C55</f>
        <v>16441657</v>
      </c>
      <c r="C28" s="250" t="str">
        <f>'1. 투자 현황(현재)'!E58</f>
        <v>0162Z0</v>
      </c>
      <c r="D28" s="251" t="str">
        <f>'1. 투자 현황(현재)'!F58</f>
        <v>RISE 삼성하이닉스채권</v>
      </c>
      <c r="E28" s="249">
        <f>'1. 투자 현황(현재)'!G58</f>
        <v>2</v>
      </c>
      <c r="F28" s="249">
        <f>'1. 투자 현황(현재)'!H58</f>
        <v>13474</v>
      </c>
      <c r="G28" s="249"/>
      <c r="H28" s="249">
        <f ca="1">'1. 투자 현황(현재)'!K58</f>
        <v>15205</v>
      </c>
      <c r="I28" s="249">
        <f ca="1">'1. 투자 현황(현재)'!L58</f>
        <v>30410</v>
      </c>
      <c r="J28" s="252">
        <f ca="1">'1. 투자 현황(현재)'!N58</f>
        <v>0.12846964524268961</v>
      </c>
    </row>
    <row r="29" spans="1:10" ht="22.05" customHeight="1">
      <c r="A29" s="301"/>
      <c r="B29" s="315">
        <f ca="1">'1. 투자 현황(현재)'!C55</f>
        <v>16441657</v>
      </c>
      <c r="C29" s="250" t="str">
        <f>'1. 투자 현황(현재)'!E59</f>
        <v>480020</v>
      </c>
      <c r="D29" s="251" t="str">
        <f>'1. 투자 현황(현재)'!F59</f>
        <v>ACE 빅테크7 커버드콜</v>
      </c>
      <c r="E29" s="249">
        <f>'1. 투자 현황(현재)'!G59</f>
        <v>2</v>
      </c>
      <c r="F29" s="249">
        <f>'1. 투자 현황(현재)'!H59</f>
        <v>10332</v>
      </c>
      <c r="G29" s="249"/>
      <c r="H29" s="249">
        <f ca="1">'1. 투자 현황(현재)'!K59</f>
        <v>13885</v>
      </c>
      <c r="I29" s="249">
        <f ca="1">'1. 투자 현황(현재)'!L59</f>
        <v>27770</v>
      </c>
      <c r="J29" s="252">
        <f ca="1">'1. 투자 현황(현재)'!N59</f>
        <v>0.34388308168795972</v>
      </c>
    </row>
    <row r="30" spans="1:10" ht="22.05" customHeight="1">
      <c r="A30" s="301"/>
      <c r="B30" s="315">
        <f ca="1">'1. 투자 현황(현재)'!C55</f>
        <v>16441657</v>
      </c>
      <c r="C30" s="250" t="str">
        <f>'1. 투자 현황(현재)'!E60</f>
        <v>0195R0</v>
      </c>
      <c r="D30" s="251" t="str">
        <f>'1. 투자 현황(현재)'!F60</f>
        <v>TIGER 삼성전자 레버리지</v>
      </c>
      <c r="E30" s="249">
        <f>'1. 투자 현황(현재)'!G60</f>
        <v>3</v>
      </c>
      <c r="F30" s="249">
        <f>'1. 투자 현황(현재)'!H60</f>
        <v>27558</v>
      </c>
      <c r="G30" s="249"/>
      <c r="H30" s="249">
        <f ca="1">'1. 투자 현황(현재)'!K60</f>
        <v>28950</v>
      </c>
      <c r="I30" s="249">
        <f ca="1">'1. 투자 현황(현재)'!L60</f>
        <v>86850</v>
      </c>
      <c r="J30" s="252">
        <f ca="1">'1. 투자 현황(현재)'!N60</f>
        <v>5.0511648160243852E-2</v>
      </c>
    </row>
    <row r="31" spans="1:10" ht="24" customHeight="1">
      <c r="A31" s="253" t="s">
        <v>94</v>
      </c>
      <c r="B31" s="254"/>
      <c r="C31" s="254"/>
      <c r="D31" s="254"/>
      <c r="E31" s="254"/>
      <c r="F31" s="254"/>
      <c r="G31" s="254"/>
      <c r="H31" s="254"/>
      <c r="I31" s="255">
        <f ca="1">SUM(I26:I30)</f>
        <v>81489770</v>
      </c>
      <c r="J31" s="256">
        <f ca="1">(I31-B26)/B26</f>
        <v>3.9562991126745923</v>
      </c>
    </row>
    <row r="32" spans="1:10" ht="22.05" customHeight="1">
      <c r="A32" s="257" t="s">
        <v>96</v>
      </c>
      <c r="B32" s="258">
        <f ca="1">'1. 투자 현황(현재)'!C71</f>
        <v>0</v>
      </c>
      <c r="C32" s="259" t="str">
        <f>'1. 투자 현황(현재)'!E71</f>
        <v>STX</v>
      </c>
      <c r="D32" s="260" t="str">
        <f>'1. 투자 현황(현재)'!F71</f>
        <v>시게이트</v>
      </c>
      <c r="E32" s="261">
        <f>'1. 투자 현황(현재)'!G71</f>
        <v>0.1</v>
      </c>
      <c r="F32" s="262">
        <f>'1. 투자 현황(현재)'!H71</f>
        <v>317.56</v>
      </c>
      <c r="G32" s="262"/>
      <c r="H32" s="262">
        <f ca="1">'1. 투자 현황(현재)'!K71</f>
        <v>926.61</v>
      </c>
      <c r="I32" s="258">
        <f ca="1">'1. 투자 현황(현재)'!L71</f>
        <v>142194.32746500001</v>
      </c>
      <c r="J32" s="263">
        <f ca="1">'1. 투자 현황(현재)'!N71</f>
        <v>1.9179052777427892</v>
      </c>
    </row>
    <row r="33" spans="1:10" ht="24" customHeight="1">
      <c r="A33" s="264" t="s">
        <v>94</v>
      </c>
      <c r="B33" s="220"/>
      <c r="C33" s="220"/>
      <c r="D33" s="220"/>
      <c r="E33" s="220"/>
      <c r="F33" s="220"/>
      <c r="G33" s="220"/>
      <c r="H33" s="220"/>
      <c r="I33" s="265">
        <f ca="1">SUM(I32)</f>
        <v>142194.32746500001</v>
      </c>
      <c r="J33" s="266">
        <f ca="1">'1. 투자 현황(현재)'!N71</f>
        <v>1.9179052777427892</v>
      </c>
    </row>
    <row r="34" spans="1:10" ht="22.05" customHeight="1">
      <c r="A34" s="302" t="s">
        <v>97</v>
      </c>
      <c r="B34" s="316">
        <f ca="1">'1. 투자 현황(현재)'!C81</f>
        <v>118653718</v>
      </c>
      <c r="C34" s="268" t="str">
        <f>'1. 투자 현황(현재)'!E81</f>
        <v>396500</v>
      </c>
      <c r="D34" s="269" t="str">
        <f>'1. 투자 현황(현재)'!F81</f>
        <v>TIGER 반도체TOP10</v>
      </c>
      <c r="E34" s="267">
        <f>'1. 투자 현황(현재)'!G81</f>
        <v>2059</v>
      </c>
      <c r="F34" s="267">
        <f>'1. 투자 현황(현재)'!H81</f>
        <v>31800</v>
      </c>
      <c r="G34" s="267"/>
      <c r="H34" s="267">
        <f ca="1">'1. 투자 현황(현재)'!K81</f>
        <v>52085</v>
      </c>
      <c r="I34" s="267">
        <f ca="1">'1. 투자 현황(현재)'!L81</f>
        <v>107243015</v>
      </c>
      <c r="J34" s="270">
        <f ca="1">'1. 투자 현황(현재)'!N81</f>
        <v>0.63789308176100634</v>
      </c>
    </row>
    <row r="35" spans="1:10" ht="22.05" customHeight="1">
      <c r="A35" s="303"/>
      <c r="B35" s="316">
        <f ca="1">'1. 투자 현황(현재)'!C81</f>
        <v>118653718</v>
      </c>
      <c r="C35" s="268" t="str">
        <f>'1. 투자 현황(현재)'!E82</f>
        <v>442580</v>
      </c>
      <c r="D35" s="269" t="str">
        <f>'1. 투자 현황(현재)'!F82</f>
        <v>Plus HBM 글로벌 반도체</v>
      </c>
      <c r="E35" s="267">
        <f>'1. 투자 현황(현재)'!G82</f>
        <v>1275</v>
      </c>
      <c r="F35" s="267">
        <f>'1. 투자 현황(현재)'!H82</f>
        <v>124747</v>
      </c>
      <c r="G35" s="267">
        <v>61209.27</v>
      </c>
      <c r="H35" s="267">
        <f ca="1">'1. 투자 현황(현재)'!K82</f>
        <v>127675</v>
      </c>
      <c r="I35" s="267">
        <f ca="1">'1. 투자 현황(현재)'!L82</f>
        <v>162785625</v>
      </c>
      <c r="J35" s="270">
        <f ca="1">'1. 투자 현황(현재)'!N82</f>
        <v>2.347150632880951E-2</v>
      </c>
    </row>
    <row r="36" spans="1:10" ht="22.05" customHeight="1">
      <c r="A36" s="303"/>
      <c r="B36" s="316">
        <f ca="1">'1. 투자 현황(현재)'!C81</f>
        <v>118653718</v>
      </c>
      <c r="C36" s="268" t="str">
        <f>'1. 투자 현황(현재)'!E83</f>
        <v>0195R0</v>
      </c>
      <c r="D36" s="269" t="str">
        <f>'1. 투자 현황(현재)'!F83</f>
        <v>TIGER 삼성전자 레버리지</v>
      </c>
      <c r="E36" s="267">
        <f>'1. 투자 현황(현재)'!G83</f>
        <v>1031</v>
      </c>
      <c r="F36" s="267">
        <f>'1. 투자 현황(현재)'!H83</f>
        <v>22973</v>
      </c>
      <c r="G36" s="267"/>
      <c r="H36" s="267">
        <f ca="1">'1. 투자 현황(현재)'!K83</f>
        <v>28950</v>
      </c>
      <c r="I36" s="267">
        <f ca="1">'1. 투자 현황(현재)'!L83</f>
        <v>29847450</v>
      </c>
      <c r="J36" s="270">
        <f ca="1">'1. 투자 현황(현재)'!N83</f>
        <v>0.26017498802942585</v>
      </c>
    </row>
    <row r="37" spans="1:10" ht="22.05" customHeight="1">
      <c r="A37" s="303"/>
      <c r="B37" s="316">
        <f ca="1">'1. 투자 현황(현재)'!C81</f>
        <v>118653718</v>
      </c>
      <c r="C37" s="268" t="str">
        <f>'1. 투자 현황(현재)'!E85</f>
        <v>390390</v>
      </c>
      <c r="D37" s="269" t="str">
        <f>'1. 투자 현황(현재)'!F85</f>
        <v>KODEX 미국 반도체</v>
      </c>
      <c r="E37" s="267">
        <f>'1. 투자 현황(현재)'!G85</f>
        <v>3</v>
      </c>
      <c r="F37" s="267">
        <f>'1. 투자 현황(현재)'!H85</f>
        <v>19187</v>
      </c>
      <c r="G37" s="267"/>
      <c r="H37" s="267">
        <f ca="1">'1. 투자 현황(현재)'!K85</f>
        <v>63025</v>
      </c>
      <c r="I37" s="267">
        <f ca="1">'1. 투자 현황(현재)'!L85</f>
        <v>189075</v>
      </c>
      <c r="J37" s="270">
        <f ca="1">'1. 투자 현황(현재)'!N85</f>
        <v>2.2847761505185802</v>
      </c>
    </row>
    <row r="38" spans="1:10" ht="22.05" customHeight="1">
      <c r="A38" s="303"/>
      <c r="B38" s="316">
        <f ca="1">'1. 투자 현황(현재)'!C81</f>
        <v>118653718</v>
      </c>
      <c r="C38" s="268" t="str">
        <f>'1. 투자 현황(현재)'!E86</f>
        <v>0177R0</v>
      </c>
      <c r="D38" s="269" t="str">
        <f>'1. 투자 현황(현재)'!F86</f>
        <v>TIGER 반도체TOP10 커버드콜</v>
      </c>
      <c r="E38" s="267">
        <f>'1. 투자 현황(현재)'!G86</f>
        <v>4</v>
      </c>
      <c r="F38" s="267">
        <f>'1. 투자 현황(현재)'!H86</f>
        <v>12960</v>
      </c>
      <c r="G38" s="267"/>
      <c r="H38" s="267">
        <f ca="1">'1. 투자 현황(현재)'!K86</f>
        <v>15610</v>
      </c>
      <c r="I38" s="267">
        <f ca="1">'1. 투자 현황(현재)'!L86</f>
        <v>62440</v>
      </c>
      <c r="J38" s="270">
        <f ca="1">'1. 투자 현황(현재)'!N86</f>
        <v>0.2044753086419753</v>
      </c>
    </row>
    <row r="39" spans="1:10" ht="22.05" customHeight="1">
      <c r="A39" s="303"/>
      <c r="B39" s="316">
        <f ca="1">'1. 투자 현황(현재)'!C81</f>
        <v>118653718</v>
      </c>
      <c r="C39" s="268" t="str">
        <f>'1. 투자 현황(현재)'!E87</f>
        <v>0162Z0</v>
      </c>
      <c r="D39" s="269" t="str">
        <f>'1. 투자 현황(현재)'!F87</f>
        <v>RISE 삼성하이닉스채권</v>
      </c>
      <c r="E39" s="267">
        <f>'1. 투자 현황(현재)'!G87</f>
        <v>2</v>
      </c>
      <c r="F39" s="267">
        <f>'1. 투자 현황(현재)'!H87</f>
        <v>13471</v>
      </c>
      <c r="G39" s="267"/>
      <c r="H39" s="267">
        <f ca="1">'1. 투자 현황(현재)'!K87</f>
        <v>15205</v>
      </c>
      <c r="I39" s="267">
        <f ca="1">'1. 투자 현황(현재)'!L87</f>
        <v>30410</v>
      </c>
      <c r="J39" s="270">
        <f ca="1">'1. 투자 현황(현재)'!N87</f>
        <v>0.12872095612797863</v>
      </c>
    </row>
    <row r="40" spans="1:10" ht="24" customHeight="1">
      <c r="A40" s="271" t="s">
        <v>94</v>
      </c>
      <c r="B40" s="272"/>
      <c r="C40" s="272"/>
      <c r="D40" s="272"/>
      <c r="E40" s="272"/>
      <c r="F40" s="272"/>
      <c r="G40" s="272"/>
      <c r="H40" s="272"/>
      <c r="I40" s="273">
        <f ca="1">SUM(I34:I39)</f>
        <v>300158015</v>
      </c>
      <c r="J40" s="274">
        <f ca="1">(I40-B34)/B34</f>
        <v>1.5296975101951715</v>
      </c>
    </row>
    <row r="41" spans="1:10" ht="22.05" customHeight="1">
      <c r="A41" s="275" t="s">
        <v>59</v>
      </c>
      <c r="B41" s="317">
        <f ca="1">'1. 투자 현황(현재)'!C89</f>
        <v>500000</v>
      </c>
      <c r="C41" s="277" t="str">
        <f>'1. 투자 현황(현재)'!E89</f>
        <v>396500</v>
      </c>
      <c r="D41" s="278" t="str">
        <f>'1. 투자 현황(현재)'!F89</f>
        <v>TIGER 반도체TOP10</v>
      </c>
      <c r="E41" s="276">
        <f>'1. 투자 현황(현재)'!G89</f>
        <v>36</v>
      </c>
      <c r="F41" s="276">
        <f>'1. 투자 현황(현재)'!H89</f>
        <v>29595</v>
      </c>
      <c r="G41" s="276"/>
      <c r="H41" s="276">
        <f ca="1">'1. 투자 현황(현재)'!K89</f>
        <v>52085</v>
      </c>
      <c r="I41" s="276">
        <f ca="1">'1. 투자 현황(현재)'!L89</f>
        <v>1875060</v>
      </c>
      <c r="J41" s="279">
        <f ca="1">'1. 투자 현황(현재)'!N89</f>
        <v>0.75992566311877008</v>
      </c>
    </row>
    <row r="42" spans="1:10" ht="22.05" customHeight="1">
      <c r="A42" s="304"/>
      <c r="B42" s="317">
        <f ca="1">'1. 투자 현황(현재)'!C89</f>
        <v>500000</v>
      </c>
      <c r="C42" s="277" t="str">
        <f>'1. 투자 현황(현재)'!E93</f>
        <v>458730</v>
      </c>
      <c r="D42" s="278" t="str">
        <f>'1. 투자 현황(현재)'!F93</f>
        <v>미국배당 다우존스</v>
      </c>
      <c r="E42" s="276">
        <f>'1. 투자 현황(현재)'!G93</f>
        <v>1</v>
      </c>
      <c r="F42" s="276">
        <f>'1. 투자 현황(현재)'!H93</f>
        <v>10980</v>
      </c>
      <c r="G42" s="276"/>
      <c r="H42" s="276">
        <f ca="1">'1. 투자 현황(현재)'!K93</f>
        <v>15405</v>
      </c>
      <c r="I42" s="276">
        <f ca="1">'1. 투자 현황(현재)'!L93</f>
        <v>15405</v>
      </c>
      <c r="J42" s="279">
        <f ca="1">'1. 투자 현황(현재)'!N93</f>
        <v>0.40300546448087432</v>
      </c>
    </row>
    <row r="43" spans="1:10" ht="24" customHeight="1">
      <c r="A43" s="280" t="s">
        <v>94</v>
      </c>
      <c r="B43" s="237"/>
      <c r="C43" s="237"/>
      <c r="D43" s="237"/>
      <c r="E43" s="237"/>
      <c r="F43" s="237"/>
      <c r="G43" s="237"/>
      <c r="H43" s="237"/>
      <c r="I43" s="281">
        <f ca="1">SUM(I41:I42)</f>
        <v>1890465</v>
      </c>
      <c r="J43" s="282">
        <f ca="1">(I43-B41)/B41</f>
        <v>2.7809300000000001</v>
      </c>
    </row>
    <row r="44" spans="1:10" ht="22.05" customHeight="1">
      <c r="A44" s="283" t="s">
        <v>60</v>
      </c>
      <c r="B44" s="318">
        <f ca="1">'1. 투자 현황(현재)'!C95</f>
        <v>15000000</v>
      </c>
      <c r="C44" s="285" t="str">
        <f>'1. 투자 현황(현재)'!E95</f>
        <v>396500</v>
      </c>
      <c r="D44" s="286" t="str">
        <f>'1. 투자 현황(현재)'!F95</f>
        <v>TIGER 반도체TOP10</v>
      </c>
      <c r="E44" s="284">
        <f>'1. 투자 현황(현재)'!G95</f>
        <v>1502</v>
      </c>
      <c r="F44" s="284">
        <f>'1. 투자 현황(현재)'!H95</f>
        <v>38398</v>
      </c>
      <c r="G44" s="284"/>
      <c r="H44" s="284">
        <f ca="1">'1. 투자 현황(현재)'!K95</f>
        <v>52085</v>
      </c>
      <c r="I44" s="284">
        <f ca="1">'1. 투자 현황(현재)'!L95</f>
        <v>78231670</v>
      </c>
      <c r="J44" s="287">
        <f ca="1">'1. 투자 현황(현재)'!N95</f>
        <v>0.35645085681545913</v>
      </c>
    </row>
    <row r="45" spans="1:10" ht="22.05" customHeight="1">
      <c r="A45" s="305"/>
      <c r="B45" s="318">
        <f ca="1">'1. 투자 현황(현재)'!C95</f>
        <v>15000000</v>
      </c>
      <c r="C45" s="285" t="str">
        <f>'1. 투자 현황(현재)'!E96</f>
        <v>498400</v>
      </c>
      <c r="D45" s="286" t="str">
        <f>'1. 투자 현황(현재)'!F96</f>
        <v>KODEX 200 타겟 커버드콜</v>
      </c>
      <c r="E45" s="284">
        <f>'1. 투자 현황(현재)'!G96</f>
        <v>8</v>
      </c>
      <c r="F45" s="284">
        <f>'1. 투자 현황(현재)'!H96</f>
        <v>26335</v>
      </c>
      <c r="G45" s="284"/>
      <c r="H45" s="284">
        <f ca="1">'1. 투자 현황(현재)'!K96</f>
        <v>27825</v>
      </c>
      <c r="I45" s="284">
        <f ca="1">'1. 투자 현황(현재)'!L96</f>
        <v>222600</v>
      </c>
      <c r="J45" s="287">
        <f ca="1">'1. 투자 현황(현재)'!N96</f>
        <v>5.6578697550787926E-2</v>
      </c>
    </row>
    <row r="46" spans="1:10" ht="24" customHeight="1">
      <c r="A46" s="288" t="s">
        <v>94</v>
      </c>
      <c r="B46" s="289"/>
      <c r="C46" s="289"/>
      <c r="D46" s="289"/>
      <c r="E46" s="289"/>
      <c r="F46" s="289"/>
      <c r="G46" s="289"/>
      <c r="H46" s="289"/>
      <c r="I46" s="290">
        <f ca="1">SUM(I44:I45)</f>
        <v>78454270</v>
      </c>
      <c r="J46" s="291">
        <f ca="1">(I46-B44)/B44</f>
        <v>4.2302846666666669</v>
      </c>
    </row>
    <row r="47" spans="1:10" ht="24" customHeight="1">
      <c r="A47" s="292" t="s">
        <v>98</v>
      </c>
      <c r="B47" s="293">
        <f ca="1">'1. 투자 현황(현재)'!C101</f>
        <v>150595375</v>
      </c>
      <c r="C47" s="294"/>
      <c r="D47" s="294"/>
      <c r="E47" s="294"/>
      <c r="F47" s="294"/>
      <c r="G47" s="294"/>
      <c r="H47" s="294"/>
      <c r="I47" s="293">
        <f ca="1">I31+I33+I40+I43+I46</f>
        <v>462134714.327465</v>
      </c>
      <c r="J47" s="295">
        <f ca="1">(I47-B47)/B47</f>
        <v>2.0687178429448116</v>
      </c>
    </row>
    <row r="48" spans="1:10" ht="24" customHeight="1">
      <c r="A48" s="296" t="s">
        <v>99</v>
      </c>
      <c r="B48" s="297">
        <f ca="1">'1. 투자 현황(현재)'!C102</f>
        <v>349015220</v>
      </c>
      <c r="C48" s="298"/>
      <c r="D48" s="298"/>
      <c r="E48" s="298"/>
      <c r="F48" s="298"/>
      <c r="G48" s="298"/>
      <c r="H48" s="298"/>
      <c r="I48" s="297">
        <f ca="1">I25+I47</f>
        <v>1045698084.3274651</v>
      </c>
      <c r="J48" s="299">
        <f ca="1">(I48-B48)/B48</f>
        <v>1.9961389200375419</v>
      </c>
    </row>
  </sheetData>
  <mergeCells count="8">
    <mergeCell ref="A12:A15"/>
    <mergeCell ref="A7:A10"/>
    <mergeCell ref="A2:A5"/>
    <mergeCell ref="B2:B5"/>
    <mergeCell ref="B7:B10"/>
    <mergeCell ref="B12:B15"/>
    <mergeCell ref="A20:A23"/>
    <mergeCell ref="A17:A18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424E0-5D1D-429E-BC39-DD09C1E868E4}">
  <dimension ref="A1:F69"/>
  <sheetViews>
    <sheetView topLeftCell="B1" workbookViewId="0">
      <selection activeCell="G63" sqref="G63"/>
    </sheetView>
  </sheetViews>
  <sheetFormatPr defaultRowHeight="14.4"/>
  <cols>
    <col min="1" max="1" width="24.109375" customWidth="1"/>
    <col min="2" max="2" width="14.77734375" customWidth="1"/>
    <col min="3" max="3" width="21.6640625" customWidth="1"/>
    <col min="4" max="4" width="25.44140625" customWidth="1"/>
    <col min="5" max="5" width="25" customWidth="1"/>
    <col min="6" max="6" width="18.5546875" customWidth="1"/>
    <col min="7" max="7" width="24.109375" customWidth="1"/>
    <col min="8" max="8" width="13.88671875" customWidth="1"/>
    <col min="9" max="10" width="22.21875" customWidth="1"/>
    <col min="11" max="11" width="20.33203125" customWidth="1"/>
  </cols>
  <sheetData>
    <row r="1" spans="1:6" ht="18">
      <c r="A1" s="319" t="s">
        <v>100</v>
      </c>
    </row>
    <row r="3" spans="1:6">
      <c r="A3" s="175" t="s">
        <v>101</v>
      </c>
      <c r="B3" s="175" t="s">
        <v>4</v>
      </c>
      <c r="C3" s="332">
        <v>46143</v>
      </c>
      <c r="D3" s="175" t="s">
        <v>102</v>
      </c>
      <c r="E3" s="332">
        <v>46204</v>
      </c>
      <c r="F3" s="322"/>
    </row>
    <row r="4" spans="1:6">
      <c r="A4" s="327" t="s">
        <v>103</v>
      </c>
      <c r="B4" s="176" t="s">
        <v>104</v>
      </c>
      <c r="C4" s="322">
        <v>113724104</v>
      </c>
      <c r="D4" s="322">
        <f ca="1">'2,현재 실적'!B2</f>
        <v>113724104</v>
      </c>
      <c r="E4" s="322"/>
      <c r="F4" s="322"/>
    </row>
    <row r="5" spans="1:6">
      <c r="A5" s="327"/>
      <c r="B5" s="176" t="s">
        <v>105</v>
      </c>
      <c r="C5" s="322">
        <v>335667170</v>
      </c>
      <c r="D5" s="322">
        <f ca="1">'2,현재 실적'!I6</f>
        <v>335667170</v>
      </c>
      <c r="E5" s="322"/>
      <c r="F5" s="322"/>
    </row>
    <row r="6" spans="1:6">
      <c r="A6" s="327"/>
      <c r="B6" s="176" t="s">
        <v>10</v>
      </c>
      <c r="C6" s="322">
        <v>221943066</v>
      </c>
      <c r="D6" s="322">
        <f ca="1">'2,현재 실적'!I6-'2,현재 실적'!B2</f>
        <v>221943066</v>
      </c>
      <c r="E6" s="322"/>
      <c r="F6" s="322"/>
    </row>
    <row r="7" spans="1:6">
      <c r="A7" s="327"/>
      <c r="B7" s="176" t="s">
        <v>106</v>
      </c>
      <c r="C7" s="323">
        <v>1.9515921268546552</v>
      </c>
      <c r="D7" s="323">
        <f ca="1">'2,현재 실적'!J6</f>
        <v>1.9515921268546552</v>
      </c>
      <c r="E7" s="323"/>
      <c r="F7" s="323"/>
    </row>
    <row r="8" spans="1:6">
      <c r="A8" s="327" t="s">
        <v>107</v>
      </c>
      <c r="B8" s="176" t="s">
        <v>104</v>
      </c>
      <c r="C8" s="322">
        <v>16391196</v>
      </c>
      <c r="D8" s="322">
        <f ca="1">'2,현재 실적'!B7</f>
        <v>16391196</v>
      </c>
      <c r="E8" s="322"/>
      <c r="F8" s="322"/>
    </row>
    <row r="9" spans="1:6">
      <c r="A9" s="327"/>
      <c r="B9" s="176" t="s">
        <v>105</v>
      </c>
      <c r="C9" s="322">
        <v>75003850</v>
      </c>
      <c r="D9" s="322">
        <f ca="1">'2,현재 실적'!I11</f>
        <v>75003850</v>
      </c>
      <c r="E9" s="322"/>
      <c r="F9" s="322"/>
    </row>
    <row r="10" spans="1:6">
      <c r="A10" s="327"/>
      <c r="B10" s="176" t="s">
        <v>10</v>
      </c>
      <c r="C10" s="322">
        <v>58612654</v>
      </c>
      <c r="D10" s="322">
        <f ca="1">'2,현재 실적'!I11-'2,현재 실적'!B7</f>
        <v>58612654</v>
      </c>
      <c r="E10" s="322"/>
      <c r="F10" s="322"/>
    </row>
    <row r="11" spans="1:6">
      <c r="A11" s="327"/>
      <c r="B11" s="176" t="s">
        <v>106</v>
      </c>
      <c r="C11" s="323">
        <v>3.5758619444243118</v>
      </c>
      <c r="D11" s="323">
        <f ca="1">'2,현재 실적'!J11</f>
        <v>3.5758619444243118</v>
      </c>
      <c r="E11" s="323"/>
      <c r="F11" s="323"/>
    </row>
    <row r="12" spans="1:6">
      <c r="A12" s="327" t="s">
        <v>108</v>
      </c>
      <c r="B12" s="176" t="s">
        <v>104</v>
      </c>
      <c r="C12" s="322">
        <v>14550000</v>
      </c>
      <c r="D12" s="322">
        <f ca="1">'2,현재 실적'!B12</f>
        <v>14550000</v>
      </c>
      <c r="E12" s="322"/>
      <c r="F12" s="322"/>
    </row>
    <row r="13" spans="1:6">
      <c r="A13" s="327"/>
      <c r="B13" s="176" t="s">
        <v>105</v>
      </c>
      <c r="C13" s="322">
        <v>38825210</v>
      </c>
      <c r="D13" s="322">
        <f ca="1">'2,현재 실적'!I16</f>
        <v>38825210</v>
      </c>
      <c r="E13" s="322"/>
      <c r="F13" s="322"/>
    </row>
    <row r="14" spans="1:6">
      <c r="A14" s="327"/>
      <c r="B14" s="176" t="s">
        <v>10</v>
      </c>
      <c r="C14" s="322">
        <v>24275210</v>
      </c>
      <c r="D14" s="322">
        <f ca="1">'2,현재 실적'!I16-'2,현재 실적'!B12</f>
        <v>24275210</v>
      </c>
      <c r="E14" s="322"/>
      <c r="F14" s="322"/>
    </row>
    <row r="15" spans="1:6">
      <c r="A15" s="327"/>
      <c r="B15" s="176" t="s">
        <v>106</v>
      </c>
      <c r="C15" s="323">
        <v>1.6683993127147767</v>
      </c>
      <c r="D15" s="323">
        <f ca="1">'2,현재 실적'!J16</f>
        <v>1.6683993127147767</v>
      </c>
      <c r="E15" s="323"/>
      <c r="F15" s="323"/>
    </row>
    <row r="16" spans="1:6">
      <c r="A16" s="327" t="s">
        <v>109</v>
      </c>
      <c r="B16" s="176" t="s">
        <v>104</v>
      </c>
      <c r="C16" s="322">
        <v>51504545</v>
      </c>
      <c r="D16" s="322">
        <f ca="1">'2,현재 실적'!B17</f>
        <v>51504545</v>
      </c>
      <c r="E16" s="322"/>
      <c r="F16" s="322"/>
    </row>
    <row r="17" spans="1:6">
      <c r="A17" s="327"/>
      <c r="B17" s="176" t="s">
        <v>105</v>
      </c>
      <c r="C17" s="322">
        <v>130270110</v>
      </c>
      <c r="D17" s="322">
        <f ca="1">'2,현재 실적'!I19</f>
        <v>130270110</v>
      </c>
      <c r="E17" s="322"/>
      <c r="F17" s="322"/>
    </row>
    <row r="18" spans="1:6">
      <c r="A18" s="327"/>
      <c r="B18" s="176" t="s">
        <v>10</v>
      </c>
      <c r="C18" s="322">
        <v>78765565</v>
      </c>
      <c r="D18" s="322">
        <f ca="1">'2,현재 실적'!I19-'2,현재 실적'!B17</f>
        <v>78765565</v>
      </c>
      <c r="E18" s="322"/>
      <c r="F18" s="322"/>
    </row>
    <row r="19" spans="1:6">
      <c r="A19" s="327"/>
      <c r="B19" s="176" t="s">
        <v>106</v>
      </c>
      <c r="C19" s="323">
        <v>1.5292934827402125</v>
      </c>
      <c r="D19" s="323">
        <f ca="1">'2,현재 실적'!J19</f>
        <v>1.5292934827402125</v>
      </c>
      <c r="E19" s="323"/>
      <c r="F19" s="323"/>
    </row>
    <row r="20" spans="1:6">
      <c r="A20" s="327" t="s">
        <v>110</v>
      </c>
      <c r="B20" s="176" t="s">
        <v>104</v>
      </c>
      <c r="C20" s="322">
        <v>2250000</v>
      </c>
      <c r="D20" s="322">
        <f ca="1">'2,현재 실적'!B20</f>
        <v>2250000</v>
      </c>
      <c r="E20" s="322"/>
      <c r="F20" s="322"/>
    </row>
    <row r="21" spans="1:6">
      <c r="A21" s="327"/>
      <c r="B21" s="176" t="s">
        <v>105</v>
      </c>
      <c r="C21" s="322">
        <v>3797030</v>
      </c>
      <c r="D21" s="322">
        <f ca="1">'2,현재 실적'!I24</f>
        <v>3797030</v>
      </c>
      <c r="E21" s="322"/>
      <c r="F21" s="322"/>
    </row>
    <row r="22" spans="1:6">
      <c r="A22" s="327"/>
      <c r="B22" s="176" t="s">
        <v>10</v>
      </c>
      <c r="C22" s="322">
        <v>1547030</v>
      </c>
      <c r="D22" s="322">
        <f ca="1">'2,현재 실적'!I24-'2,현재 실적'!B20</f>
        <v>1547030</v>
      </c>
      <c r="E22" s="322"/>
      <c r="F22" s="322"/>
    </row>
    <row r="23" spans="1:6">
      <c r="A23" s="327"/>
      <c r="B23" s="176" t="s">
        <v>106</v>
      </c>
      <c r="C23" s="323">
        <v>0.6875688888888889</v>
      </c>
      <c r="D23" s="323">
        <f ca="1">'2,현재 실적'!J24</f>
        <v>0.6875688888888889</v>
      </c>
      <c r="E23" s="323"/>
      <c r="F23" s="323"/>
    </row>
    <row r="24" spans="1:6">
      <c r="A24" s="328" t="s">
        <v>93</v>
      </c>
      <c r="B24" s="241" t="s">
        <v>104</v>
      </c>
      <c r="C24" s="324">
        <v>198419845</v>
      </c>
      <c r="D24" s="324">
        <f ca="1">'2,현재 실적'!B25</f>
        <v>198419845</v>
      </c>
      <c r="E24" s="324"/>
      <c r="F24" s="324"/>
    </row>
    <row r="25" spans="1:6">
      <c r="A25" s="328"/>
      <c r="B25" s="241" t="s">
        <v>105</v>
      </c>
      <c r="C25" s="324">
        <v>583563370</v>
      </c>
      <c r="D25" s="324">
        <f ca="1">'2,현재 실적'!I25</f>
        <v>583563370</v>
      </c>
      <c r="E25" s="324"/>
      <c r="F25" s="324"/>
    </row>
    <row r="26" spans="1:6">
      <c r="A26" s="328"/>
      <c r="B26" s="241" t="s">
        <v>10</v>
      </c>
      <c r="C26" s="324">
        <v>385143525</v>
      </c>
      <c r="D26" s="324">
        <f ca="1">'2,현재 실적'!I25-'2,현재 실적'!B25</f>
        <v>385143525</v>
      </c>
      <c r="E26" s="324"/>
      <c r="F26" s="324"/>
    </row>
    <row r="27" spans="1:6">
      <c r="A27" s="328"/>
      <c r="B27" s="241" t="s">
        <v>106</v>
      </c>
      <c r="C27" s="325">
        <v>1.9410534515839382</v>
      </c>
      <c r="D27" s="325">
        <f ca="1">'2,현재 실적'!J25</f>
        <v>1.9410534515839382</v>
      </c>
      <c r="E27" s="325"/>
      <c r="F27" s="325"/>
    </row>
    <row r="28" spans="1:6">
      <c r="A28" s="329" t="s">
        <v>95</v>
      </c>
      <c r="B28" s="320" t="s">
        <v>104</v>
      </c>
      <c r="C28" s="322">
        <v>16441657</v>
      </c>
      <c r="D28" s="322">
        <f ca="1">'2,현재 실적'!B26</f>
        <v>16441657</v>
      </c>
      <c r="E28" s="322"/>
      <c r="F28" s="322"/>
    </row>
    <row r="29" spans="1:6">
      <c r="A29" s="329"/>
      <c r="B29" s="320" t="s">
        <v>105</v>
      </c>
      <c r="C29" s="322">
        <v>81489770</v>
      </c>
      <c r="D29" s="322">
        <f ca="1">'2,현재 실적'!I31</f>
        <v>81489770</v>
      </c>
      <c r="E29" s="322"/>
      <c r="F29" s="322"/>
    </row>
    <row r="30" spans="1:6">
      <c r="A30" s="329"/>
      <c r="B30" s="320" t="s">
        <v>10</v>
      </c>
      <c r="C30" s="322">
        <v>65048113</v>
      </c>
      <c r="D30" s="322">
        <f ca="1">'2,현재 실적'!I31-'2,현재 실적'!B26</f>
        <v>65048113</v>
      </c>
      <c r="E30" s="322"/>
      <c r="F30" s="322"/>
    </row>
    <row r="31" spans="1:6">
      <c r="A31" s="329"/>
      <c r="B31" s="320" t="s">
        <v>106</v>
      </c>
      <c r="C31" s="323">
        <v>3.9562991126745923</v>
      </c>
      <c r="D31" s="323">
        <f ca="1">'2,현재 실적'!J31</f>
        <v>3.9562991126745923</v>
      </c>
      <c r="E31" s="323"/>
      <c r="F31" s="323"/>
    </row>
    <row r="32" spans="1:6">
      <c r="A32" s="329" t="s">
        <v>96</v>
      </c>
      <c r="B32" s="320" t="s">
        <v>104</v>
      </c>
      <c r="C32" s="322">
        <v>0</v>
      </c>
      <c r="D32" s="322">
        <f ca="1">'2,현재 실적'!B32</f>
        <v>0</v>
      </c>
      <c r="E32" s="322"/>
      <c r="F32" s="322"/>
    </row>
    <row r="33" spans="1:6">
      <c r="A33" s="329"/>
      <c r="B33" s="320" t="s">
        <v>105</v>
      </c>
      <c r="C33" s="322">
        <v>142194.32746500001</v>
      </c>
      <c r="D33" s="322">
        <f ca="1">'2,현재 실적'!I33</f>
        <v>142194.32746500001</v>
      </c>
      <c r="E33" s="322"/>
      <c r="F33" s="322"/>
    </row>
    <row r="34" spans="1:6">
      <c r="A34" s="329"/>
      <c r="B34" s="320" t="s">
        <v>10</v>
      </c>
      <c r="C34" s="322">
        <v>142194.32746500001</v>
      </c>
      <c r="D34" s="322">
        <f ca="1">'2,현재 실적'!I33-'2,현재 실적'!B32</f>
        <v>142194.32746500001</v>
      </c>
      <c r="E34" s="322"/>
      <c r="F34" s="322"/>
    </row>
    <row r="35" spans="1:6">
      <c r="A35" s="329"/>
      <c r="B35" s="320" t="s">
        <v>106</v>
      </c>
      <c r="C35" s="323">
        <v>1.9179052777427892</v>
      </c>
      <c r="D35" s="323">
        <f ca="1">'2,현재 실적'!J33</f>
        <v>1.9179052777427892</v>
      </c>
      <c r="E35" s="323"/>
      <c r="F35" s="323"/>
    </row>
    <row r="36" spans="1:6">
      <c r="A36" s="329" t="s">
        <v>97</v>
      </c>
      <c r="B36" s="320" t="s">
        <v>104</v>
      </c>
      <c r="C36" s="322">
        <v>118653718</v>
      </c>
      <c r="D36" s="322">
        <f ca="1">'2,현재 실적'!B34</f>
        <v>118653718</v>
      </c>
      <c r="E36" s="322"/>
      <c r="F36" s="322"/>
    </row>
    <row r="37" spans="1:6">
      <c r="A37" s="329"/>
      <c r="B37" s="320" t="s">
        <v>105</v>
      </c>
      <c r="C37" s="322">
        <v>300158015</v>
      </c>
      <c r="D37" s="322">
        <f ca="1">'2,현재 실적'!I40</f>
        <v>300158015</v>
      </c>
      <c r="E37" s="322"/>
      <c r="F37" s="322"/>
    </row>
    <row r="38" spans="1:6">
      <c r="A38" s="329"/>
      <c r="B38" s="320" t="s">
        <v>10</v>
      </c>
      <c r="C38" s="322">
        <v>181504297</v>
      </c>
      <c r="D38" s="322">
        <f ca="1">'2,현재 실적'!I40-'2,현재 실적'!B34</f>
        <v>181504297</v>
      </c>
      <c r="E38" s="322"/>
      <c r="F38" s="322"/>
    </row>
    <row r="39" spans="1:6">
      <c r="A39" s="329"/>
      <c r="B39" s="320" t="s">
        <v>106</v>
      </c>
      <c r="C39" s="323">
        <v>1.5296975101951715</v>
      </c>
      <c r="D39" s="323">
        <f ca="1">'2,현재 실적'!J40</f>
        <v>1.5296975101951715</v>
      </c>
      <c r="E39" s="323"/>
      <c r="F39" s="323"/>
    </row>
    <row r="40" spans="1:6">
      <c r="A40" s="329" t="s">
        <v>111</v>
      </c>
      <c r="B40" s="320" t="s">
        <v>104</v>
      </c>
      <c r="C40" s="322">
        <v>500000</v>
      </c>
      <c r="D40" s="322">
        <f ca="1">'2,현재 실적'!B41</f>
        <v>500000</v>
      </c>
      <c r="E40" s="322"/>
      <c r="F40" s="322"/>
    </row>
    <row r="41" spans="1:6">
      <c r="A41" s="329"/>
      <c r="B41" s="320" t="s">
        <v>105</v>
      </c>
      <c r="C41" s="322">
        <v>1890465</v>
      </c>
      <c r="D41" s="322">
        <f ca="1">'2,현재 실적'!I43</f>
        <v>1890465</v>
      </c>
      <c r="E41" s="322"/>
      <c r="F41" s="322"/>
    </row>
    <row r="42" spans="1:6">
      <c r="A42" s="329"/>
      <c r="B42" s="320" t="s">
        <v>10</v>
      </c>
      <c r="C42" s="322">
        <v>1390465</v>
      </c>
      <c r="D42" s="322">
        <f ca="1">'2,현재 실적'!I43-'2,현재 실적'!B41</f>
        <v>1390465</v>
      </c>
      <c r="E42" s="322"/>
      <c r="F42" s="322"/>
    </row>
    <row r="43" spans="1:6">
      <c r="A43" s="329"/>
      <c r="B43" s="320" t="s">
        <v>106</v>
      </c>
      <c r="C43" s="323">
        <v>2.7809300000000001</v>
      </c>
      <c r="D43" s="323">
        <f ca="1">'2,현재 실적'!J43</f>
        <v>2.7809300000000001</v>
      </c>
      <c r="E43" s="323"/>
      <c r="F43" s="323"/>
    </row>
    <row r="44" spans="1:6">
      <c r="A44" s="329" t="s">
        <v>112</v>
      </c>
      <c r="B44" s="320" t="s">
        <v>104</v>
      </c>
      <c r="C44" s="322">
        <v>15000000</v>
      </c>
      <c r="D44" s="322">
        <f ca="1">'2,현재 실적'!B44</f>
        <v>15000000</v>
      </c>
      <c r="E44" s="322"/>
      <c r="F44" s="322"/>
    </row>
    <row r="45" spans="1:6">
      <c r="A45" s="329"/>
      <c r="B45" s="320" t="s">
        <v>105</v>
      </c>
      <c r="C45" s="322">
        <v>78454270</v>
      </c>
      <c r="D45" s="322">
        <f ca="1">'2,현재 실적'!I46</f>
        <v>78454270</v>
      </c>
      <c r="E45" s="322"/>
      <c r="F45" s="322"/>
    </row>
    <row r="46" spans="1:6">
      <c r="A46" s="329"/>
      <c r="B46" s="320" t="s">
        <v>10</v>
      </c>
      <c r="C46" s="322">
        <v>63454270</v>
      </c>
      <c r="D46" s="322">
        <f ca="1">'2,현재 실적'!I46-'2,현재 실적'!B44</f>
        <v>63454270</v>
      </c>
      <c r="E46" s="322"/>
      <c r="F46" s="322"/>
    </row>
    <row r="47" spans="1:6">
      <c r="A47" s="329"/>
      <c r="B47" s="320" t="s">
        <v>106</v>
      </c>
      <c r="C47" s="323">
        <v>4.2302846666666669</v>
      </c>
      <c r="D47" s="323">
        <f ca="1">'2,현재 실적'!J46</f>
        <v>4.2302846666666669</v>
      </c>
      <c r="E47" s="323"/>
      <c r="F47" s="323"/>
    </row>
    <row r="48" spans="1:6">
      <c r="A48" s="330" t="s">
        <v>98</v>
      </c>
      <c r="B48" s="241" t="s">
        <v>104</v>
      </c>
      <c r="C48" s="324">
        <v>150595375</v>
      </c>
      <c r="D48" s="324">
        <f ca="1">'2,현재 실적'!B47</f>
        <v>150595375</v>
      </c>
      <c r="E48" s="324"/>
      <c r="F48" s="324"/>
    </row>
    <row r="49" spans="1:6">
      <c r="A49" s="330"/>
      <c r="B49" s="241" t="s">
        <v>105</v>
      </c>
      <c r="C49" s="324">
        <v>462134714.327465</v>
      </c>
      <c r="D49" s="324">
        <f ca="1">'2,현재 실적'!I47</f>
        <v>462134714.327465</v>
      </c>
      <c r="E49" s="324"/>
      <c r="F49" s="324"/>
    </row>
    <row r="50" spans="1:6">
      <c r="A50" s="330"/>
      <c r="B50" s="241" t="s">
        <v>10</v>
      </c>
      <c r="C50" s="324">
        <v>311539339.327465</v>
      </c>
      <c r="D50" s="324">
        <f ca="1">'2,현재 실적'!I47-'2,현재 실적'!B47</f>
        <v>311539339.327465</v>
      </c>
      <c r="E50" s="324"/>
      <c r="F50" s="324"/>
    </row>
    <row r="51" spans="1:6">
      <c r="A51" s="330"/>
      <c r="B51" s="241" t="s">
        <v>106</v>
      </c>
      <c r="C51" s="325">
        <v>2.0687178429448116</v>
      </c>
      <c r="D51" s="325">
        <f ca="1">'2,현재 실적'!J47</f>
        <v>2.0687178429448116</v>
      </c>
      <c r="E51" s="325"/>
      <c r="F51" s="325"/>
    </row>
    <row r="52" spans="1:6">
      <c r="A52" s="331" t="s">
        <v>99</v>
      </c>
      <c r="B52" s="321" t="s">
        <v>104</v>
      </c>
      <c r="C52" s="324">
        <v>349015220</v>
      </c>
      <c r="D52" s="324">
        <f ca="1">'2,현재 실적'!B48</f>
        <v>349015220</v>
      </c>
      <c r="E52" s="324"/>
      <c r="F52" s="324"/>
    </row>
    <row r="53" spans="1:6">
      <c r="A53" s="331"/>
      <c r="B53" s="321" t="s">
        <v>105</v>
      </c>
      <c r="C53" s="324">
        <v>1045698084.3274651</v>
      </c>
      <c r="D53" s="324">
        <f ca="1">'2,현재 실적'!I48</f>
        <v>1045698084.3274651</v>
      </c>
      <c r="E53" s="324"/>
      <c r="F53" s="324"/>
    </row>
    <row r="54" spans="1:6">
      <c r="A54" s="331"/>
      <c r="B54" s="321" t="s">
        <v>10</v>
      </c>
      <c r="C54" s="324">
        <v>696682864.32746506</v>
      </c>
      <c r="D54" s="324">
        <f ca="1">'2,현재 실적'!I48-'2,현재 실적'!B48</f>
        <v>696682864.32746506</v>
      </c>
      <c r="E54" s="324"/>
      <c r="F54" s="324"/>
    </row>
    <row r="55" spans="1:6">
      <c r="A55" s="331"/>
      <c r="B55" s="321" t="s">
        <v>106</v>
      </c>
      <c r="C55" s="325">
        <v>1.9961389200375419</v>
      </c>
      <c r="D55" s="325">
        <f ca="1">'2,현재 실적'!J48</f>
        <v>1.9961389200375419</v>
      </c>
      <c r="E55" s="325"/>
      <c r="F55" s="325"/>
    </row>
    <row r="59" spans="1:6">
      <c r="B59" s="333" t="s">
        <v>113</v>
      </c>
    </row>
    <row r="61" spans="1:6">
      <c r="B61" s="334" t="s">
        <v>114</v>
      </c>
      <c r="C61" s="175" t="s">
        <v>115</v>
      </c>
      <c r="D61" s="175" t="s">
        <v>116</v>
      </c>
      <c r="E61" s="175" t="s">
        <v>117</v>
      </c>
    </row>
    <row r="62" spans="1:6">
      <c r="B62" s="337" t="str">
        <f>TEXT(C3,"yyyy-mm")</f>
        <v>2026-05</v>
      </c>
      <c r="C62" s="242">
        <f>C26</f>
        <v>385143525</v>
      </c>
      <c r="D62" s="242">
        <f>C50</f>
        <v>311539339.327465</v>
      </c>
      <c r="E62" s="242">
        <f>C54</f>
        <v>696682864.32746506</v>
      </c>
    </row>
    <row r="63" spans="1:6">
      <c r="B63" s="337" t="str">
        <f>IF(D3="","",TEXT(D3,"yyyy-mm"))</f>
        <v>2026-06</v>
      </c>
      <c r="C63" s="242">
        <f ca="1">IF(B63="","",D26)</f>
        <v>385143525</v>
      </c>
      <c r="D63" s="242">
        <f ca="1">IF(B63="","",D50)</f>
        <v>311539339.327465</v>
      </c>
      <c r="E63" s="242">
        <f ca="1">IF(B63="","",D54)</f>
        <v>696682864.32746506</v>
      </c>
    </row>
    <row r="64" spans="1:6">
      <c r="B64" s="337"/>
      <c r="C64" s="242"/>
      <c r="D64" s="242"/>
      <c r="E64" s="242"/>
    </row>
    <row r="66" spans="2:5">
      <c r="B66" s="336" t="s">
        <v>114</v>
      </c>
      <c r="C66" s="335" t="s">
        <v>118</v>
      </c>
      <c r="D66" s="335" t="s">
        <v>119</v>
      </c>
      <c r="E66" s="335" t="s">
        <v>120</v>
      </c>
    </row>
    <row r="67" spans="2:5">
      <c r="B67" s="337" t="str">
        <f>TEXT(C3,"yyyy-mm")</f>
        <v>2026-05</v>
      </c>
      <c r="C67" s="326">
        <f>C27</f>
        <v>1.9410534515839382</v>
      </c>
      <c r="D67" s="326">
        <f>C51</f>
        <v>2.0687178429448116</v>
      </c>
      <c r="E67" s="326">
        <f>C55</f>
        <v>1.9961389200375419</v>
      </c>
    </row>
    <row r="68" spans="2:5">
      <c r="B68" s="337" t="str">
        <f>IF(D3="","",TEXT(D3,"yyyy-mm"))</f>
        <v>2026-06</v>
      </c>
      <c r="C68" s="326">
        <f ca="1">IF(B68="","",D27)</f>
        <v>1.9410534515839382</v>
      </c>
      <c r="D68" s="326">
        <f ca="1">IF(B68="","",D51)</f>
        <v>2.0687178429448116</v>
      </c>
      <c r="E68" s="326">
        <f ca="1">IF(B68="","",D55)</f>
        <v>1.9961389200375419</v>
      </c>
    </row>
    <row r="69" spans="2:5">
      <c r="B69" s="337"/>
      <c r="C69" s="326"/>
      <c r="D69" s="326"/>
      <c r="E69" s="326"/>
    </row>
  </sheetData>
  <mergeCells count="13">
    <mergeCell ref="A52:A55"/>
    <mergeCell ref="A28:A31"/>
    <mergeCell ref="A32:A35"/>
    <mergeCell ref="A36:A39"/>
    <mergeCell ref="A40:A43"/>
    <mergeCell ref="A44:A47"/>
    <mergeCell ref="A48:A51"/>
    <mergeCell ref="A4:A7"/>
    <mergeCell ref="A8:A11"/>
    <mergeCell ref="A12:A15"/>
    <mergeCell ref="A16:A19"/>
    <mergeCell ref="A20:A23"/>
    <mergeCell ref="A24:A27"/>
  </mergeCells>
  <phoneticPr fontId="10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투자 현황(현재)</vt:lpstr>
      <vt:lpstr>2,현재 실적</vt:lpstr>
      <vt:lpstr>3.투자 실적(월별)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유철</dc:creator>
  <cp:lastModifiedBy>유철</cp:lastModifiedBy>
  <dcterms:created xsi:type="dcterms:W3CDTF">2026-06-03T13:33:53Z</dcterms:created>
  <dcterms:modified xsi:type="dcterms:W3CDTF">2026-06-03T13:33:53Z</dcterms:modified>
</cp:coreProperties>
</file>